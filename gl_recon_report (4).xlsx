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0" documentId="8_{626D19E0-4A4C-40CA-ADE3-2BDB3491C70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shboard" sheetId="1" r:id="rId1"/>
    <sheet name="Overview" sheetId="2" r:id="rId2"/>
    <sheet name="StatusCounts" sheetId="3" r:id="rId3"/>
    <sheet name="Matches" sheetId="4" r:id="rId4"/>
    <sheet name="Unmatched_A" sheetId="5" r:id="rId5"/>
    <sheet name="Unmatched_B" sheetId="6" r:id="rId6"/>
    <sheet name="Mismatched_Amount" sheetId="7" r:id="rId7"/>
    <sheet name="Mapping" sheetId="8" r:id="rId8"/>
    <sheet name="ExceptionsByGL" sheetId="9" r:id="rId9"/>
    <sheet name="ExceptionsBySrc" sheetId="10" r:id="rId10"/>
    <sheet name="Model" sheetId="11" r:id="rId11"/>
    <sheet name="Lists" sheetId="12" r:id="rId12"/>
    <sheet name="Missing_Map" sheetId="13" r:id="rId13"/>
    <sheet name="MissingMap_BySource" sheetId="14" r:id="rId14"/>
  </sheets>
  <definedNames>
    <definedName name="List_GL">OFFSET(Lists!$A$2,0,0,MAX(1,COUNTA(Lists!$A:$A)-1),1)</definedName>
    <definedName name="List_Source">OFFSET(Lists!$B$2,0,0,MAX(1,COUNTA(Lists!$B:$B)-1),1)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5" i="1"/>
  <c r="A34" i="1"/>
  <c r="A33" i="1"/>
  <c r="A32" i="1"/>
  <c r="A31" i="1"/>
  <c r="A30" i="1"/>
  <c r="A29" i="1"/>
  <c r="A28" i="1"/>
  <c r="A27" i="1"/>
  <c r="B13" i="1"/>
  <c r="B12" i="1"/>
  <c r="B11" i="1"/>
  <c r="B10" i="1"/>
  <c r="B22" i="1" l="1"/>
  <c r="B21" i="1"/>
  <c r="B20" i="1"/>
  <c r="B19" i="1"/>
  <c r="B18" i="1"/>
  <c r="B17" i="1"/>
  <c r="B27" i="1"/>
  <c r="B28" i="1"/>
  <c r="B29" i="1"/>
  <c r="B30" i="1"/>
  <c r="B31" i="1"/>
  <c r="B32" i="1"/>
  <c r="B33" i="1"/>
  <c r="B34" i="1"/>
  <c r="B35" i="1"/>
  <c r="B36" i="1"/>
</calcChain>
</file>

<file path=xl/sharedStrings.xml><?xml version="1.0" encoding="utf-8"?>
<sst xmlns="http://schemas.openxmlformats.org/spreadsheetml/2006/main" count="12905" uniqueCount="509">
  <si>
    <t>GL vs Source Reconciliation Dashboard</t>
  </si>
  <si>
    <t>Filters</t>
  </si>
  <si>
    <t>GL Account</t>
  </si>
  <si>
    <t>Source Account</t>
  </si>
  <si>
    <t>Date From (Posting)</t>
  </si>
  <si>
    <t>Date To (Posting)</t>
  </si>
  <si>
    <t>Effective Criteria (do not edit)</t>
  </si>
  <si>
    <t>GL Criteria</t>
  </si>
  <si>
    <t>Source Criteria</t>
  </si>
  <si>
    <t>Date From Eff</t>
  </si>
  <si>
    <t>Date To Eff</t>
  </si>
  <si>
    <t>Counts by Status (respects filters)</t>
  </si>
  <si>
    <t>Status</t>
  </si>
  <si>
    <t>Count</t>
  </si>
  <si>
    <t>EXACT_MATCH</t>
  </si>
  <si>
    <t>NEAR_MATCH</t>
  </si>
  <si>
    <t>MAPPING_ISSUE</t>
  </si>
  <si>
    <t>MISMATCH</t>
  </si>
  <si>
    <t>UNMATCHED_A</t>
  </si>
  <si>
    <t>UNMATCHED_B</t>
  </si>
  <si>
    <t>Exceptions by GL (MISMATCH + UNMATCHED_A)</t>
  </si>
  <si>
    <t>Exceptions</t>
  </si>
  <si>
    <t>Metric</t>
  </si>
  <si>
    <t>Value</t>
  </si>
  <si>
    <t>Total Rows</t>
  </si>
  <si>
    <t>Amount Tolerance</t>
  </si>
  <si>
    <t>Date Tolerance (days)</t>
  </si>
  <si>
    <t>status</t>
  </si>
  <si>
    <t>count</t>
  </si>
  <si>
    <t>doc_id</t>
  </si>
  <si>
    <t>ref_id</t>
  </si>
  <si>
    <t>gl_account</t>
  </si>
  <si>
    <t>gl_account_name</t>
  </si>
  <si>
    <t>posting_date</t>
  </si>
  <si>
    <t>amount_A</t>
  </si>
  <si>
    <t>currency_A</t>
  </si>
  <si>
    <t>entity_A</t>
  </si>
  <si>
    <t>cost_center_A</t>
  </si>
  <si>
    <t>counterparty_A</t>
  </si>
  <si>
    <t>memo</t>
  </si>
  <si>
    <t>source_account</t>
  </si>
  <si>
    <t>source_account_name</t>
  </si>
  <si>
    <t>txn_date</t>
  </si>
  <si>
    <t>amount_B</t>
  </si>
  <si>
    <t>currency_B</t>
  </si>
  <si>
    <t>entity_B</t>
  </si>
  <si>
    <t>cost_center_B</t>
  </si>
  <si>
    <t>counterparty_B</t>
  </si>
  <si>
    <t>description</t>
  </si>
  <si>
    <t>mapped_gl_account</t>
  </si>
  <si>
    <t>mapping_ok</t>
  </si>
  <si>
    <t>amount_diff</t>
  </si>
  <si>
    <t>days_diff</t>
  </si>
  <si>
    <t>TXN000001</t>
  </si>
  <si>
    <t>2000</t>
  </si>
  <si>
    <t>Accounts Payable</t>
  </si>
  <si>
    <t>USD</t>
  </si>
  <si>
    <t>US</t>
  </si>
  <si>
    <t>CC100</t>
  </si>
  <si>
    <t>Subscription</t>
  </si>
  <si>
    <t>AP-VENDOR</t>
  </si>
  <si>
    <t>Subledger AP</t>
  </si>
  <si>
    <t>TXN000002</t>
  </si>
  <si>
    <t>1000</t>
  </si>
  <si>
    <t>Cash</t>
  </si>
  <si>
    <t>UK</t>
  </si>
  <si>
    <t>CustA</t>
  </si>
  <si>
    <t>Card fees</t>
  </si>
  <si>
    <t>BANK-SAV</t>
  </si>
  <si>
    <t>Bank Savings</t>
  </si>
  <si>
    <t>TXN000003</t>
  </si>
  <si>
    <t>4000</t>
  </si>
  <si>
    <t>COGS</t>
  </si>
  <si>
    <t>IN</t>
  </si>
  <si>
    <t>COGS-INV</t>
  </si>
  <si>
    <t>COGS Inventory</t>
  </si>
  <si>
    <t>TXN000004</t>
  </si>
  <si>
    <t>CC400</t>
  </si>
  <si>
    <t>Adjustment</t>
  </si>
  <si>
    <t>TXN000005</t>
  </si>
  <si>
    <t>DE</t>
  </si>
  <si>
    <t>CustB</t>
  </si>
  <si>
    <t>BANK-CHK</t>
  </si>
  <si>
    <t>Bank Checking</t>
  </si>
  <si>
    <t>TXN000006</t>
  </si>
  <si>
    <t>VendY</t>
  </si>
  <si>
    <t>TXN000007</t>
  </si>
  <si>
    <t>3000</t>
  </si>
  <si>
    <t>Revenue</t>
  </si>
  <si>
    <t>REV-ONLINE</t>
  </si>
  <si>
    <t>Revenue Online</t>
  </si>
  <si>
    <t>TXN000008</t>
  </si>
  <si>
    <t>5000</t>
  </si>
  <si>
    <t>Operating Expense</t>
  </si>
  <si>
    <t>OPEX-MKT</t>
  </si>
  <si>
    <t>Operating Marketing</t>
  </si>
  <si>
    <t>TXN000009</t>
  </si>
  <si>
    <t>CC200</t>
  </si>
  <si>
    <t>TXN000010</t>
  </si>
  <si>
    <t>CustC</t>
  </si>
  <si>
    <t>REV-RETAIL</t>
  </si>
  <si>
    <t>Revenue Retail</t>
  </si>
  <si>
    <t>TXN000011</t>
  </si>
  <si>
    <t>CC300</t>
  </si>
  <si>
    <t>TXN000012</t>
  </si>
  <si>
    <t>Refund</t>
  </si>
  <si>
    <t>TXN000013</t>
  </si>
  <si>
    <t>Monthly activity</t>
  </si>
  <si>
    <t>TXN000014</t>
  </si>
  <si>
    <t>VendZ</t>
  </si>
  <si>
    <t>TXN000015</t>
  </si>
  <si>
    <t>TXN000016</t>
  </si>
  <si>
    <t>TXN000017</t>
  </si>
  <si>
    <t>TXN000018</t>
  </si>
  <si>
    <t>TXN000019</t>
  </si>
  <si>
    <t>TXN000020</t>
  </si>
  <si>
    <t>TXN000021</t>
  </si>
  <si>
    <t>VendX</t>
  </si>
  <si>
    <t>TXN000022</t>
  </si>
  <si>
    <t>6000</t>
  </si>
  <si>
    <t>Other Income</t>
  </si>
  <si>
    <t>MISC-INC</t>
  </si>
  <si>
    <t>Misc Income</t>
  </si>
  <si>
    <t>TXN000023</t>
  </si>
  <si>
    <t>TXN000024</t>
  </si>
  <si>
    <t>OPEX-IT</t>
  </si>
  <si>
    <t>Operating IT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</si>
  <si>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</si>
  <si>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</si>
  <si>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</si>
  <si>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</si>
  <si>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</si>
  <si>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</si>
  <si>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</si>
  <si>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</si>
  <si>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</si>
  <si>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</si>
  <si>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</si>
  <si>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Invoice settlement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</si>
  <si>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</si>
  <si>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</si>
  <si>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</si>
  <si>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</si>
  <si>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</si>
  <si>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</si>
  <si>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</si>
  <si>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</si>
  <si>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</si>
  <si>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</si>
  <si>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</si>
  <si>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1100</t>
  </si>
  <si>
    <t>Accounts Receivable</t>
  </si>
  <si>
    <t>AR-CUST</t>
  </si>
  <si>
    <t>Subledger AR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</si>
  <si>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</si>
  <si>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</si>
  <si>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</si>
  <si>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</si>
  <si>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</si>
  <si>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</si>
  <si>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</si>
  <si>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</si>
  <si>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</si>
  <si>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</si>
  <si>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</si>
  <si>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</si>
  <si>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</si>
  <si>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</si>
  <si>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</si>
  <si>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</si>
  <si>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</si>
  <si>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</si>
  <si>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</si>
  <si>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</si>
  <si>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</si>
  <si>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</si>
  <si>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</si>
  <si>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</si>
  <si>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</si>
  <si>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</si>
  <si>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</si>
  <si>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</si>
  <si>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</si>
  <si>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</si>
  <si>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</si>
  <si>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</si>
  <si>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</si>
  <si>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</si>
  <si>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</si>
  <si>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</si>
  <si>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</si>
  <si>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</si>
  <si>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</si>
  <si>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</si>
  <si>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</si>
  <si>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</si>
  <si>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</si>
  <si>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</si>
  <si>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</si>
  <si>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</si>
  <si>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</si>
  <si>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</si>
  <si>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</si>
  <si>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</si>
  <si>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</si>
  <si>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</si>
  <si>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</si>
  <si>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</si>
  <si>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</si>
  <si>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</si>
  <si>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</si>
  <si>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</si>
  <si>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</si>
  <si>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</si>
  <si>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</si>
  <si>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</si>
  <si>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</si>
  <si>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</si>
  <si>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</si>
  <si>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</si>
  <si>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</si>
  <si>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</si>
  <si>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</si>
  <si>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</si>
  <si>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</si>
  <si>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</si>
  <si>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</si>
  <si>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</si>
  <si>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</si>
  <si>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</si>
  <si>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</si>
  <si>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</si>
  <si>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</si>
  <si>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</si>
  <si>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</si>
  <si>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</si>
  <si>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</si>
  <si>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</si>
  <si>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</si>
  <si>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</si>
  <si>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</si>
  <si>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</si>
  <si>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</si>
  <si>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</si>
  <si>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</si>
  <si>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</si>
  <si>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</si>
  <si>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</si>
  <si>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</si>
  <si>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</si>
  <si>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</si>
  <si>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</si>
  <si>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</si>
  <si>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</si>
  <si>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</si>
  <si>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</si>
  <si>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</si>
  <si>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</si>
  <si>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</si>
  <si>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</si>
  <si>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</si>
  <si>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</si>
  <si>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</si>
  <si>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</si>
  <si>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</si>
  <si>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</si>
  <si>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</si>
  <si>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</si>
  <si>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</si>
  <si>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</si>
  <si>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</si>
  <si>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</si>
  <si>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</si>
  <si>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</si>
  <si>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</si>
  <si>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</si>
  <si>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</si>
  <si>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</si>
  <si>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</si>
  <si>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</si>
  <si>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</si>
  <si>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</si>
  <si>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</si>
  <si>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</si>
  <si>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</si>
  <si>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</si>
  <si>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</si>
  <si>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</si>
  <si>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</si>
  <si>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</si>
  <si>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</si>
  <si>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</si>
  <si>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</si>
  <si>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</si>
  <si>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</si>
  <si>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</si>
  <si>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</si>
  <si>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</si>
  <si>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</si>
  <si>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</si>
  <si>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</si>
  <si>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</si>
  <si>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</si>
  <si>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</si>
  <si>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</si>
  <si>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</si>
  <si>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</si>
  <si>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</si>
  <si>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</si>
  <si>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</si>
  <si>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</si>
  <si>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</si>
  <si>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</si>
  <si>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</si>
  <si>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</si>
  <si>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</si>
  <si>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</si>
  <si>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</si>
  <si>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</si>
  <si>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</si>
  <si>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</si>
  <si>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</si>
  <si>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</si>
  <si>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</si>
  <si>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</si>
  <si>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</si>
  <si>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</si>
  <si>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</si>
  <si>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</si>
  <si>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</si>
  <si>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</si>
  <si>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</si>
  <si>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</si>
  <si>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</si>
  <si>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</si>
  <si>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</si>
  <si>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</si>
  <si>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</si>
  <si>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</si>
  <si>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</si>
  <si>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</si>
  <si>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</si>
  <si>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</si>
  <si>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</si>
  <si>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</si>
  <si>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</si>
  <si>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</si>
  <si>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</si>
  <si>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</si>
  <si>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</si>
  <si>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</si>
  <si>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</si>
  <si>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</si>
  <si>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</si>
  <si>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</si>
  <si>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</si>
  <si>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</si>
  <si>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</si>
  <si>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</si>
  <si>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</si>
  <si>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</si>
  <si>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</si>
  <si>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</si>
  <si>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</si>
  <si>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</si>
  <si>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</si>
  <si>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</si>
  <si>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</si>
  <si>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</si>
  <si>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</si>
  <si>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</si>
  <si>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</si>
  <si>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</si>
  <si>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</si>
  <si>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</si>
  <si>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</si>
  <si>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</si>
  <si>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</si>
  <si>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</si>
  <si>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</si>
  <si>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</si>
  <si>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</si>
  <si>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</si>
  <si>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</si>
  <si>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</si>
  <si>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</si>
  <si>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</si>
  <si>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</si>
  <si>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</si>
  <si>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</si>
  <si>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</si>
  <si>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</si>
  <si>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</si>
  <si>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</si>
  <si>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</si>
  <si>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</si>
  <si>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</si>
  <si>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</si>
  <si>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</si>
  <si>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</si>
  <si>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</si>
  <si>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</si>
  <si>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</si>
  <si>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</si>
  <si>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</si>
  <si>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</si>
  <si>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</si>
  <si>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</si>
  <si>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AONLY00001</t>
  </si>
  <si>
    <t>2100</t>
  </si>
  <si>
    <t>Accrued Expenses</t>
  </si>
  <si>
    <t>Manual JE</t>
  </si>
  <si>
    <t>AONLY00002</t>
  </si>
  <si>
    <t>Reclass</t>
  </si>
  <si>
    <t>AONLY00003</t>
  </si>
  <si>
    <t>Accrual</t>
  </si>
  <si>
    <t>AONLY00004</t>
  </si>
  <si>
    <t>AONLY00005</t>
  </si>
  <si>
    <t>AONLY00006</t>
  </si>
  <si>
    <t>AONLY00007</t>
  </si>
  <si>
    <t>AONLY00008</t>
  </si>
  <si>
    <t>AONLY00009</t>
  </si>
  <si>
    <t>7000</t>
  </si>
  <si>
    <t>Other Expense</t>
  </si>
  <si>
    <t>AONLY00010</t>
  </si>
  <si>
    <t>AONLY00011</t>
  </si>
  <si>
    <t>AONLY00012</t>
  </si>
  <si>
    <t>AONLY00013</t>
  </si>
  <si>
    <t>AONLY00014</t>
  </si>
  <si>
    <t>AONLY00015</t>
  </si>
  <si>
    <t>AONLY00016</t>
  </si>
  <si>
    <t>AONLY00017</t>
  </si>
  <si>
    <t>AONLY00018</t>
  </si>
  <si>
    <t>AONLY00019</t>
  </si>
  <si>
    <t>AONLY00020</t>
  </si>
  <si>
    <t>AONLY00021</t>
  </si>
  <si>
    <t>AONLY00022</t>
  </si>
  <si>
    <t>AONLY00023</t>
  </si>
  <si>
    <t>AONLY00024</t>
  </si>
  <si>
    <t>AONLY00025</t>
  </si>
  <si>
    <t>AONLY00026</t>
  </si>
  <si>
    <t>AONLY00027</t>
  </si>
  <si>
    <t>AONLY00028</t>
  </si>
  <si>
    <t>AONLY00029</t>
  </si>
  <si>
    <t>AONLY00030</t>
  </si>
  <si>
    <t>AONLY00031</t>
  </si>
  <si>
    <t>AONLY00032</t>
  </si>
  <si>
    <t>AONLY00033</t>
  </si>
  <si>
    <t>AONLY00034</t>
  </si>
  <si>
    <t>AONLY00035</t>
  </si>
  <si>
    <t>AONLY00036</t>
  </si>
  <si>
    <t>1200</t>
  </si>
  <si>
    <t>Prepaid Expenses</t>
  </si>
  <si>
    <t>AONLY00037</t>
  </si>
  <si>
    <t>AONLY00038</t>
  </si>
  <si>
    <t>AONLY00039</t>
  </si>
  <si>
    <t>AONLY00040</t>
  </si>
  <si>
    <t>BONLY00001</t>
  </si>
  <si>
    <t>Misc receipt</t>
  </si>
  <si>
    <t>BONLY00002</t>
  </si>
  <si>
    <t>Chargeback</t>
  </si>
  <si>
    <t>BONLY00003</t>
  </si>
  <si>
    <t>BONLY00004</t>
  </si>
  <si>
    <t>Bank fee</t>
  </si>
  <si>
    <t>BONLY00005</t>
  </si>
  <si>
    <t>BONLY00006</t>
  </si>
  <si>
    <t>BONLY00007</t>
  </si>
  <si>
    <t>BONLY00008</t>
  </si>
  <si>
    <t>BONLY00009</t>
  </si>
  <si>
    <t>BONLY00010</t>
  </si>
  <si>
    <t>Late fee</t>
  </si>
  <si>
    <t>BONLY00011</t>
  </si>
  <si>
    <t>BONLY00012</t>
  </si>
  <si>
    <t>BONLY00013</t>
  </si>
  <si>
    <t>BONLY00014</t>
  </si>
  <si>
    <t>BONLY00015</t>
  </si>
  <si>
    <t>BONLY00016</t>
  </si>
  <si>
    <t>BONLY00017</t>
  </si>
  <si>
    <t>BONLY00018</t>
  </si>
  <si>
    <t>BONLY00019</t>
  </si>
  <si>
    <t>BONLY00020</t>
  </si>
  <si>
    <t>BONLY00021</t>
  </si>
  <si>
    <t>BONLY00022</t>
  </si>
  <si>
    <t>BONLY00023</t>
  </si>
  <si>
    <t>BONLY00024</t>
  </si>
  <si>
    <t>BONLY00025</t>
  </si>
  <si>
    <t>BONLY00026</t>
  </si>
  <si>
    <t>BONLY00027</t>
  </si>
  <si>
    <t>BONLY00028</t>
  </si>
  <si>
    <t>BONLY00029</t>
  </si>
  <si>
    <t>BONLY00030</t>
  </si>
  <si>
    <t>BONLY00031</t>
  </si>
  <si>
    <t>BONLY00032</t>
  </si>
  <si>
    <t>BONLY00033</t>
  </si>
  <si>
    <t>BONLY00034</t>
  </si>
  <si>
    <t>BONLY00035</t>
  </si>
  <si>
    <t>BONLY00036</t>
  </si>
  <si>
    <t>BONLY00037</t>
  </si>
  <si>
    <t>BONLY00038</t>
  </si>
  <si>
    <t>BONLY00039</t>
  </si>
  <si>
    <t>BONLY00040</t>
  </si>
  <si>
    <t>exceptions_count</t>
  </si>
  <si>
    <t>GL_Accounts</t>
  </si>
  <si>
    <t>Source_Accounts</t>
  </si>
  <si>
    <t>currency</t>
  </si>
  <si>
    <t>entity</t>
  </si>
  <si>
    <t>cost_center</t>
  </si>
  <si>
    <t>counterparty</t>
  </si>
  <si>
    <t>missing_map_count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</si>
</sst>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6">
    <dxf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Counts by Status</c:v>
          </c:tx>
          <c:invertIfNegative val="0"/>
          <c:cat>
            <c:strRef>
              <c:f>Dashboard!$A$17:$A$22</c:f>
              <c:strCache>
                <c:ptCount val="6"/>
                <c:pt idx="0">
                  <c:v>EXACT_MATCH</c:v>
                </c:pt>
                <c:pt idx="1">
                  <c:v>NEAR_MATCH</c:v>
                </c:pt>
                <c:pt idx="2">
                  <c:v>MAPPING_ISSUE</c:v>
                </c:pt>
                <c:pt idx="3">
                  <c:v>MISMATCH</c:v>
                </c:pt>
                <c:pt idx="4">
                  <c:v>UNMATCHED_A</c:v>
                </c:pt>
                <c:pt idx="5">
                  <c:v>UNMATCHED_B</c:v>
                </c:pt>
              </c:strCache>
            </c:strRef>
          </c:cat>
          <c:val>
            <c:numRef>
              <c:f>Dashboard!$B$17:$B$22</c:f>
              <c:numCache>
                <c:formatCode>General</c:formatCode>
                <c:ptCount val="6"/>
                <c:pt idx="0">
                  <c:v>212</c:v>
                </c:pt>
                <c:pt idx="1">
                  <c:v>49</c:v>
                </c:pt>
                <c:pt idx="2">
                  <c:v>0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FE2-BD30-9B3D7856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Exceptions by GL (MISMATCH + UNMATCHED_A)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Dashboard!$A$27:$A$36</c:f>
              <c:strCache>
                <c:ptCount val="10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2000</c:v>
                </c:pt>
                <c:pt idx="4">
                  <c:v>2100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</c:strCache>
            </c:strRef>
          </c:cat>
          <c:val>
            <c:numRef>
              <c:f>Dashboard!$B$27:$B$36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11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8-42CD-B760-A08510965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GL Account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Exceptions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9</xdr:col>
      <xdr:colOff>123825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9</xdr:col>
      <xdr:colOff>123825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verview" displayName="tblOverview" ref="A1:B10" totalsRowShown="0">
  <autoFilter ref="A1:B10" xr:uid="{00000000-0009-0000-0100-000001000000}"/>
  <tableColumns count="2">
    <tableColumn id="1" xr3:uid="{00000000-0010-0000-0000-000001000000}" name="Metric"/>
    <tableColumn id="2" xr3:uid="{00000000-0010-0000-0000-000002000000}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atusCounts" displayName="tblStatusCounts" ref="A1:B7" totalsRowShown="0">
  <autoFilter ref="A1:B7" xr:uid="{00000000-0009-0000-0100-000002000000}"/>
  <tableColumns count="2">
    <tableColumn id="1" xr3:uid="{00000000-0010-0000-0100-000001000000}" name="status"/>
    <tableColumn id="2" xr3:uid="{00000000-0010-0000-0100-000002000000}" name="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atches" displayName="tblMatches" ref="A1:Y301" totalsRowShown="0">
  <autoFilter ref="A1:Y301" xr:uid="{00000000-0009-0000-0100-000003000000}"/>
  <tableColumns count="25">
    <tableColumn id="1" xr3:uid="{00000000-0010-0000-0200-000001000000}" name="doc_id"/>
    <tableColumn id="2" xr3:uid="{00000000-0010-0000-0200-000002000000}" name="ref_id"/>
    <tableColumn id="3" xr3:uid="{00000000-0010-0000-0200-000003000000}" name="gl_account"/>
    <tableColumn id="4" xr3:uid="{00000000-0010-0000-0200-000004000000}" name="gl_account_name"/>
    <tableColumn id="5" xr3:uid="{00000000-0010-0000-0200-000005000000}" name="posting_date"/>
    <tableColumn id="6" xr3:uid="{00000000-0010-0000-0200-000006000000}" name="amount_A"/>
    <tableColumn id="7" xr3:uid="{00000000-0010-0000-0200-000007000000}" name="currency_A"/>
    <tableColumn id="8" xr3:uid="{00000000-0010-0000-0200-000008000000}" name="entity_A"/>
    <tableColumn id="9" xr3:uid="{00000000-0010-0000-0200-000009000000}" name="cost_center_A"/>
    <tableColumn id="10" xr3:uid="{00000000-0010-0000-0200-00000A000000}" name="counterparty_A"/>
    <tableColumn id="11" xr3:uid="{00000000-0010-0000-0200-00000B000000}" name="memo"/>
    <tableColumn id="12" xr3:uid="{00000000-0010-0000-0200-00000C000000}" name="source_account"/>
    <tableColumn id="13" xr3:uid="{00000000-0010-0000-0200-00000D000000}" name="source_account_name"/>
    <tableColumn id="14" xr3:uid="{00000000-0010-0000-0200-00000E000000}" name="txn_date"/>
    <tableColumn id="15" xr3:uid="{00000000-0010-0000-0200-00000F000000}" name="amount_B"/>
    <tableColumn id="16" xr3:uid="{00000000-0010-0000-0200-000010000000}" name="currency_B"/>
    <tableColumn id="17" xr3:uid="{00000000-0010-0000-0200-000011000000}" name="entity_B"/>
    <tableColumn id="18" xr3:uid="{00000000-0010-0000-0200-000012000000}" name="cost_center_B"/>
    <tableColumn id="19" xr3:uid="{00000000-0010-0000-0200-000013000000}" name="counterparty_B"/>
    <tableColumn id="20" xr3:uid="{00000000-0010-0000-0200-000014000000}" name="description"/>
    <tableColumn id="21" xr3:uid="{00000000-0010-0000-0200-000015000000}" name="mapped_gl_account"/>
    <tableColumn id="22" xr3:uid="{00000000-0010-0000-0200-000016000000}" name="mapping_ok"/>
    <tableColumn id="23" xr3:uid="{00000000-0010-0000-0200-000017000000}" name="amount_diff"/>
    <tableColumn id="24" xr3:uid="{00000000-0010-0000-0200-000018000000}" name="days_diff"/>
    <tableColumn id="25" xr3:uid="{00000000-0010-0000-0200-000019000000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UnmatchedA" displayName="tblUnmatchedA" ref="A1:Y41" totalsRowShown="0">
  <autoFilter ref="A1:Y41" xr:uid="{00000000-0009-0000-0100-000004000000}"/>
  <tableColumns count="25">
    <tableColumn id="1" xr3:uid="{00000000-0010-0000-0300-000001000000}" name="doc_id"/>
    <tableColumn id="2" xr3:uid="{00000000-0010-0000-0300-000002000000}" name="ref_id"/>
    <tableColumn id="3" xr3:uid="{00000000-0010-0000-0300-000003000000}" name="gl_account"/>
    <tableColumn id="4" xr3:uid="{00000000-0010-0000-0300-000004000000}" name="gl_account_name"/>
    <tableColumn id="5" xr3:uid="{00000000-0010-0000-0300-000005000000}" name="posting_date"/>
    <tableColumn id="6" xr3:uid="{00000000-0010-0000-0300-000006000000}" name="amount_A"/>
    <tableColumn id="7" xr3:uid="{00000000-0010-0000-0300-000007000000}" name="currency_A"/>
    <tableColumn id="8" xr3:uid="{00000000-0010-0000-0300-000008000000}" name="entity_A"/>
    <tableColumn id="9" xr3:uid="{00000000-0010-0000-0300-000009000000}" name="cost_center_A"/>
    <tableColumn id="10" xr3:uid="{00000000-0010-0000-0300-00000A000000}" name="counterparty_A"/>
    <tableColumn id="11" xr3:uid="{00000000-0010-0000-0300-00000B000000}" name="memo"/>
    <tableColumn id="12" xr3:uid="{00000000-0010-0000-0300-00000C000000}" name="source_account"/>
    <tableColumn id="13" xr3:uid="{00000000-0010-0000-0300-00000D000000}" name="source_account_name"/>
    <tableColumn id="14" xr3:uid="{00000000-0010-0000-0300-00000E000000}" name="txn_date"/>
    <tableColumn id="15" xr3:uid="{00000000-0010-0000-0300-00000F000000}" name="amount_B"/>
    <tableColumn id="16" xr3:uid="{00000000-0010-0000-0300-000010000000}" name="currency_B"/>
    <tableColumn id="17" xr3:uid="{00000000-0010-0000-0300-000011000000}" name="entity_B"/>
    <tableColumn id="18" xr3:uid="{00000000-0010-0000-0300-000012000000}" name="cost_center_B"/>
    <tableColumn id="19" xr3:uid="{00000000-0010-0000-0300-000013000000}" name="counterparty_B"/>
    <tableColumn id="20" xr3:uid="{00000000-0010-0000-0300-000014000000}" name="description"/>
    <tableColumn id="21" xr3:uid="{00000000-0010-0000-0300-000015000000}" name="mapped_gl_account"/>
    <tableColumn id="22" xr3:uid="{00000000-0010-0000-0300-000016000000}" name="mapping_ok"/>
    <tableColumn id="23" xr3:uid="{00000000-0010-0000-0300-000017000000}" name="amount_diff"/>
    <tableColumn id="24" xr3:uid="{00000000-0010-0000-0300-000018000000}" name="days_diff"/>
    <tableColumn id="25" xr3:uid="{00000000-0010-0000-0300-000019000000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UnmatchedB" displayName="tblUnmatchedB" ref="A1:Y41" totalsRowShown="0">
  <autoFilter ref="A1:Y41" xr:uid="{00000000-0009-0000-0100-000005000000}"/>
  <tableColumns count="25">
    <tableColumn id="1" xr3:uid="{00000000-0010-0000-0400-000001000000}" name="doc_id"/>
    <tableColumn id="2" xr3:uid="{00000000-0010-0000-0400-000002000000}" name="ref_id"/>
    <tableColumn id="3" xr3:uid="{00000000-0010-0000-0400-000003000000}" name="gl_account"/>
    <tableColumn id="4" xr3:uid="{00000000-0010-0000-0400-000004000000}" name="gl_account_name"/>
    <tableColumn id="5" xr3:uid="{00000000-0010-0000-0400-000005000000}" name="posting_date"/>
    <tableColumn id="6" xr3:uid="{00000000-0010-0000-0400-000006000000}" name="amount_A"/>
    <tableColumn id="7" xr3:uid="{00000000-0010-0000-0400-000007000000}" name="currency_A"/>
    <tableColumn id="8" xr3:uid="{00000000-0010-0000-0400-000008000000}" name="entity_A"/>
    <tableColumn id="9" xr3:uid="{00000000-0010-0000-0400-000009000000}" name="cost_center_A"/>
    <tableColumn id="10" xr3:uid="{00000000-0010-0000-0400-00000A000000}" name="counterparty_A"/>
    <tableColumn id="11" xr3:uid="{00000000-0010-0000-0400-00000B000000}" name="memo"/>
    <tableColumn id="12" xr3:uid="{00000000-0010-0000-0400-00000C000000}" name="source_account"/>
    <tableColumn id="13" xr3:uid="{00000000-0010-0000-0400-00000D000000}" name="source_account_name"/>
    <tableColumn id="14" xr3:uid="{00000000-0010-0000-0400-00000E000000}" name="txn_date"/>
    <tableColumn id="15" xr3:uid="{00000000-0010-0000-0400-00000F000000}" name="amount_B"/>
    <tableColumn id="16" xr3:uid="{00000000-0010-0000-0400-000010000000}" name="currency_B"/>
    <tableColumn id="17" xr3:uid="{00000000-0010-0000-0400-000011000000}" name="entity_B"/>
    <tableColumn id="18" xr3:uid="{00000000-0010-0000-0400-000012000000}" name="cost_center_B"/>
    <tableColumn id="19" xr3:uid="{00000000-0010-0000-0400-000013000000}" name="counterparty_B"/>
    <tableColumn id="20" xr3:uid="{00000000-0010-0000-0400-000014000000}" name="description"/>
    <tableColumn id="21" xr3:uid="{00000000-0010-0000-0400-000015000000}" name="mapped_gl_account"/>
    <tableColumn id="22" xr3:uid="{00000000-0010-0000-0400-000016000000}" name="mapping_ok"/>
    <tableColumn id="23" xr3:uid="{00000000-0010-0000-0400-000017000000}" name="amount_diff"/>
    <tableColumn id="24" xr3:uid="{00000000-0010-0000-0400-000018000000}" name="days_diff"/>
    <tableColumn id="25" xr3:uid="{00000000-0010-0000-0400-000019000000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ismatchedAmt" displayName="tblMismatchedAmt" ref="A1:Y40" totalsRowShown="0">
  <autoFilter ref="A1:Y40" xr:uid="{00000000-0009-0000-0100-000006000000}"/>
  <tableColumns count="25">
    <tableColumn id="1" xr3:uid="{00000000-0010-0000-0500-000001000000}" name="doc_id"/>
    <tableColumn id="2" xr3:uid="{00000000-0010-0000-0500-000002000000}" name="ref_id"/>
    <tableColumn id="3" xr3:uid="{00000000-0010-0000-0500-000003000000}" name="gl_account"/>
    <tableColumn id="4" xr3:uid="{00000000-0010-0000-0500-000004000000}" name="gl_account_name"/>
    <tableColumn id="5" xr3:uid="{00000000-0010-0000-0500-000005000000}" name="posting_date"/>
    <tableColumn id="6" xr3:uid="{00000000-0010-0000-0500-000006000000}" name="amount_A"/>
    <tableColumn id="7" xr3:uid="{00000000-0010-0000-0500-000007000000}" name="currency_A"/>
    <tableColumn id="8" xr3:uid="{00000000-0010-0000-0500-000008000000}" name="entity_A"/>
    <tableColumn id="9" xr3:uid="{00000000-0010-0000-0500-000009000000}" name="cost_center_A"/>
    <tableColumn id="10" xr3:uid="{00000000-0010-0000-0500-00000A000000}" name="counterparty_A"/>
    <tableColumn id="11" xr3:uid="{00000000-0010-0000-0500-00000B000000}" name="memo"/>
    <tableColumn id="12" xr3:uid="{00000000-0010-0000-0500-00000C000000}" name="source_account"/>
    <tableColumn id="13" xr3:uid="{00000000-0010-0000-0500-00000D000000}" name="source_account_name"/>
    <tableColumn id="14" xr3:uid="{00000000-0010-0000-0500-00000E000000}" name="txn_date"/>
    <tableColumn id="15" xr3:uid="{00000000-0010-0000-0500-00000F000000}" name="amount_B"/>
    <tableColumn id="16" xr3:uid="{00000000-0010-0000-0500-000010000000}" name="currency_B"/>
    <tableColumn id="17" xr3:uid="{00000000-0010-0000-0500-000011000000}" name="entity_B"/>
    <tableColumn id="18" xr3:uid="{00000000-0010-0000-0500-000012000000}" name="cost_center_B"/>
    <tableColumn id="19" xr3:uid="{00000000-0010-0000-0500-000013000000}" name="counterparty_B"/>
    <tableColumn id="20" xr3:uid="{00000000-0010-0000-0500-000014000000}" name="description"/>
    <tableColumn id="21" xr3:uid="{00000000-0010-0000-0500-000015000000}" name="mapped_gl_account"/>
    <tableColumn id="22" xr3:uid="{00000000-0010-0000-0500-000016000000}" name="mapping_ok"/>
    <tableColumn id="23" xr3:uid="{00000000-0010-0000-0500-000017000000}" name="amount_diff"/>
    <tableColumn id="24" xr3:uid="{00000000-0010-0000-0500-000018000000}" name="days_diff"/>
    <tableColumn id="25" xr3:uid="{00000000-0010-0000-0500-000019000000}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apping" displayName="tblMapping" ref="A1:B11" totalsRowShown="0">
  <autoFilter ref="A1:B11" xr:uid="{00000000-0009-0000-0100-000007000000}"/>
  <tableColumns count="2">
    <tableColumn id="1" xr3:uid="{00000000-0010-0000-0600-000001000000}" name="source_account"/>
    <tableColumn id="2" xr3:uid="{00000000-0010-0000-0600-000002000000}" name="gl_accou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xceptionsByGL" displayName="tblExceptionsByGL" ref="A1:B11" totalsRowShown="0">
  <autoFilter ref="A1:B11" xr:uid="{00000000-0009-0000-0100-000008000000}"/>
  <tableColumns count="2">
    <tableColumn id="1" xr3:uid="{00000000-0010-0000-0700-000001000000}" name="gl_account"/>
    <tableColumn id="2" xr3:uid="{00000000-0010-0000-0700-000002000000}" name="exceptions_cou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ExceptionsBySrc" displayName="tblExceptionsBySrc" ref="A1:B11" totalsRowShown="0">
  <autoFilter ref="A1:B11" xr:uid="{00000000-0009-0000-0100-000009000000}"/>
  <tableColumns count="2">
    <tableColumn id="1" xr3:uid="{00000000-0010-0000-0800-000001000000}" name="source_account"/>
    <tableColumn id="2" xr3:uid="{00000000-0010-0000-0800-000002000000}" name="exceptions_cou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Model" displayName="tblModel" ref="A1:Y381" totalsRowShown="0">
  <autoFilter ref="A1:Y381" xr:uid="{00000000-0009-0000-0100-00000A000000}"/>
  <tableColumns count="25">
    <tableColumn id="1" xr3:uid="{00000000-0010-0000-0900-000001000000}" name="doc_id"/>
    <tableColumn id="2" xr3:uid="{00000000-0010-0000-0900-000002000000}" name="ref_id"/>
    <tableColumn id="3" xr3:uid="{00000000-0010-0000-0900-000003000000}" name="gl_account"/>
    <tableColumn id="4" xr3:uid="{00000000-0010-0000-0900-000004000000}" name="gl_account_name"/>
    <tableColumn id="5" xr3:uid="{00000000-0010-0000-0900-000005000000}" name="posting_date"/>
    <tableColumn id="6" xr3:uid="{00000000-0010-0000-0900-000006000000}" name="amount_A"/>
    <tableColumn id="7" xr3:uid="{00000000-0010-0000-0900-000007000000}" name="currency_A"/>
    <tableColumn id="8" xr3:uid="{00000000-0010-0000-0900-000008000000}" name="entity_A"/>
    <tableColumn id="9" xr3:uid="{00000000-0010-0000-0900-000009000000}" name="cost_center_A"/>
    <tableColumn id="10" xr3:uid="{00000000-0010-0000-0900-00000A000000}" name="counterparty_A"/>
    <tableColumn id="11" xr3:uid="{00000000-0010-0000-0900-00000B000000}" name="memo"/>
    <tableColumn id="12" xr3:uid="{00000000-0010-0000-0900-00000C000000}" name="source_account"/>
    <tableColumn id="13" xr3:uid="{00000000-0010-0000-0900-00000D000000}" name="source_account_name"/>
    <tableColumn id="14" xr3:uid="{00000000-0010-0000-0900-00000E000000}" name="txn_date"/>
    <tableColumn id="15" xr3:uid="{00000000-0010-0000-0900-00000F000000}" name="amount_B"/>
    <tableColumn id="16" xr3:uid="{00000000-0010-0000-0900-000010000000}" name="currency_B"/>
    <tableColumn id="17" xr3:uid="{00000000-0010-0000-0900-000011000000}" name="entity_B"/>
    <tableColumn id="18" xr3:uid="{00000000-0010-0000-0900-000012000000}" name="cost_center_B"/>
    <tableColumn id="19" xr3:uid="{00000000-0010-0000-0900-000013000000}" name="counterparty_B"/>
    <tableColumn id="20" xr3:uid="{00000000-0010-0000-0900-000014000000}" name="description"/>
    <tableColumn id="21" xr3:uid="{00000000-0010-0000-0900-000015000000}" name="mapped_gl_account"/>
    <tableColumn id="22" xr3:uid="{00000000-0010-0000-0900-000016000000}" name="mapping_ok"/>
    <tableColumn id="23" xr3:uid="{00000000-0010-0000-0900-000017000000}" name="amount_diff"/>
    <tableColumn id="24" xr3:uid="{00000000-0010-0000-0900-000018000000}" name="days_diff"/>
    <tableColumn id="25" xr3:uid="{00000000-0010-0000-0900-000019000000}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Lists" displayName="tblLists" ref="A1:B11" totalsRowShown="0">
  <autoFilter ref="A1:B11" xr:uid="{00000000-0009-0000-0100-00000B000000}"/>
  <tableColumns count="2">
    <tableColumn id="1" xr3:uid="{00000000-0010-0000-0A00-000001000000}" name="GL_Accounts"/>
    <tableColumn id="2" xr3:uid="{00000000-0010-0000-0A00-000002000000}" name="Source_Account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MissingMap" displayName="tblMissingMap" ref="A1:J2" totalsRowShown="0">
  <autoFilter ref="A1:J2" xr:uid="{00000000-0009-0000-0100-00000C000000}"/>
  <tableColumns count="10">
    <tableColumn id="1" xr3:uid="{00000000-0010-0000-0B00-000001000000}" name="source_account"/>
    <tableColumn id="2" xr3:uid="{00000000-0010-0000-0B00-000002000000}" name="source_account_name"/>
    <tableColumn id="3" xr3:uid="{00000000-0010-0000-0B00-000003000000}" name="ref_id"/>
    <tableColumn id="4" xr3:uid="{00000000-0010-0000-0B00-000004000000}" name="txn_date"/>
    <tableColumn id="5" xr3:uid="{00000000-0010-0000-0B00-000005000000}" name="amount_B"/>
    <tableColumn id="6" xr3:uid="{00000000-0010-0000-0B00-000006000000}" name="currency"/>
    <tableColumn id="7" xr3:uid="{00000000-0010-0000-0B00-000007000000}" name="entity"/>
    <tableColumn id="8" xr3:uid="{00000000-0010-0000-0B00-000008000000}" name="cost_center"/>
    <tableColumn id="9" xr3:uid="{00000000-0010-0000-0B00-000009000000}" name="counterparty"/>
    <tableColumn id="10" xr3:uid="{00000000-0010-0000-0B00-00000A000000}" name="descrip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MissingMapBySource" displayName="tblMissingMapBySource" ref="A1:B2" totalsRowShown="0">
  <autoFilter ref="A1:B2" xr:uid="{00000000-0009-0000-0100-00000D000000}"/>
  <tableColumns count="2">
    <tableColumn id="1" xr3:uid="{00000000-0010-0000-0C00-000001000000}" name="source_account"/>
    <tableColumn id="2" xr3:uid="{00000000-0010-0000-0C00-000002000000}" name="missing_map_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E46" sqref="E46"/>
    </sheetView>
  </sheetViews>
  <sheetFormatPr defaultRowHeight="15"/>
  <cols>
    <col min="1" max="4" width="22.7109375" customWidth="1"/>
    <col min="5" max="11" width="14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</row>
    <row r="5" spans="1:2">
      <c r="A5" t="s">
        <v>3</v>
      </c>
    </row>
    <row r="6" spans="1:2">
      <c r="A6" t="s">
        <v>4</v>
      </c>
      <c r="B6" s="3"/>
    </row>
    <row r="7" spans="1:2">
      <c r="A7" t="s">
        <v>5</v>
      </c>
      <c r="B7" s="3"/>
    </row>
    <row r="9" spans="1:2">
      <c r="A9" s="2" t="s">
        <v>6</v>
      </c>
    </row>
    <row r="10" spans="1:2">
      <c r="A10" t="s">
        <v>7</v>
      </c>
      <c r="B10" t="str">
        <f>IF(B4="", "*", B4)</f>
        <v>*</v>
      </c>
    </row>
    <row r="11" spans="1:2">
      <c r="A11" t="s">
        <v>8</v>
      </c>
      <c r="B11" t="str">
        <f>IF(B5="", "*", B5)</f>
        <v>*</v>
      </c>
    </row>
    <row r="12" spans="1:2">
      <c r="A12" t="s">
        <v>9</v>
      </c>
      <c r="B12">
        <f>IF(B6="", DATE(1900,1,1), B6)</f>
        <v>1</v>
      </c>
    </row>
    <row r="13" spans="1:2">
      <c r="A13" t="s">
        <v>10</v>
      </c>
      <c r="B13">
        <f>IF(B7="", DATE(9999,12,31), B7)</f>
        <v>2958465</v>
      </c>
    </row>
    <row r="15" spans="1:2">
      <c r="A15" s="2" t="s">
        <v>11</v>
      </c>
    </row>
    <row r="16" spans="1:2">
      <c r="A16" s="2" t="s">
        <v>12</v>
      </c>
      <c r="B16" s="2" t="s">
        <v>13</v>
      </c>
    </row>
    <row r="17" spans="1:2">
      <c r="A17" t="s">
        <v>14</v>
      </c>
      <c r="B17">
        <f>COUNTIFS(tblModel[status],A17,tblModel[gl_account],$B$10,tblModel[source_account],$B$11,tblModel[posting_date],"&gt;="&amp;$B$12,tblModel[posting_date],"&lt;="&amp;$B$13)</f>
        <v>212</v>
      </c>
    </row>
    <row r="18" spans="1:2">
      <c r="A18" t="s">
        <v>15</v>
      </c>
      <c r="B18">
        <f>COUNTIFS(tblModel[status],A18,tblModel[gl_account],$B$10,tblModel[source_account],$B$11,tblModel[posting_date],"&gt;="&amp;$B$12,tblModel[posting_date],"&lt;="&amp;$B$13)</f>
        <v>49</v>
      </c>
    </row>
    <row r="19" spans="1:2">
      <c r="A19" t="s">
        <v>16</v>
      </c>
      <c r="B19">
        <f>COUNTIFS(tblModel[status],A19,tblModel[gl_account],$B$10,tblModel[source_account],$B$11,tblModel[posting_date],"&gt;="&amp;$B$12,tblModel[posting_date],"&lt;="&amp;$B$13)</f>
        <v>0</v>
      </c>
    </row>
    <row r="20" spans="1:2">
      <c r="A20" t="s">
        <v>17</v>
      </c>
      <c r="B20">
        <f>COUNTIFS(tblModel[status],A20,tblModel[gl_account],$B$10,tblModel[source_account],$B$11,tblModel[posting_date],"&gt;="&amp;$B$12,tblModel[posting_date],"&lt;="&amp;$B$13)</f>
        <v>39</v>
      </c>
    </row>
    <row r="21" spans="1:2">
      <c r="A21" t="s">
        <v>18</v>
      </c>
      <c r="B21">
        <f>COUNTIFS(tblModel[status],A21,tblModel[gl_account],$B$10,tblModel[source_account],$B$11,tblModel[posting_date],"&gt;="&amp;$B$12,tblModel[posting_date],"&lt;="&amp;$B$13)</f>
        <v>0</v>
      </c>
    </row>
    <row r="22" spans="1:2">
      <c r="A22" t="s">
        <v>19</v>
      </c>
      <c r="B22">
        <f>COUNTIFS(tblModel[status],A22,tblModel[gl_account],$B$10,tblModel[source_account],$B$11,tblModel[posting_date],"&gt;="&amp;$B$12,tblModel[posting_date],"&lt;="&amp;$B$13)</f>
        <v>0</v>
      </c>
    </row>
    <row r="25" spans="1:2">
      <c r="A25" s="2" t="s">
        <v>20</v>
      </c>
    </row>
    <row r="26" spans="1:2">
      <c r="A26" s="2" t="s">
        <v>2</v>
      </c>
      <c r="B26" s="2" t="s">
        <v>21</v>
      </c>
    </row>
    <row r="27" spans="1:2">
      <c r="A27" t="str">
        <f>INDEX(Lists!$A:$A,2)</f>
        <v>1000</v>
      </c>
      <c r="B27">
        <f>COUNTIFS(tblModel[status],"MISMATCH",tblModel[gl_account],A27,tblModel[gl_account],$B$10,tblModel[source_account],$B$11,tblModel[posting_date],"&gt;="&amp;$B$12,tblModel[posting_date],"&lt;="&amp;$B$13)+COUNTIFS(tblModel[status],"UNMATCHED_A",tblModel[gl_account],A27,tblModel[gl_account],$B$10,tblModel[source_account],$B$11,tblModel[posting_date],"&gt;="&amp;$B$12,tblModel[posting_date],"&lt;="&amp;$B$13)</f>
        <v>8</v>
      </c>
    </row>
    <row r="28" spans="1:2">
      <c r="A28" t="str">
        <f>INDEX(Lists!$A:$A,3)</f>
        <v>1100</v>
      </c>
      <c r="B28">
        <f>COUNTIFS(tblModel[status],"MISMATCH",tblModel[gl_account],A28,tblModel[gl_account],$B$10,tblModel[source_account],$B$11,tblModel[posting_date],"&gt;="&amp;$B$12,tblModel[posting_date],"&lt;="&amp;$B$13)+COUNTIFS(tblModel[status],"UNMATCHED_A",tblModel[gl_account],A28,tblModel[gl_account],$B$10,tblModel[source_account],$B$11,tblModel[posting_date],"&gt;="&amp;$B$12,tblModel[posting_date],"&lt;="&amp;$B$13)</f>
        <v>6</v>
      </c>
    </row>
    <row r="29" spans="1:2">
      <c r="A29" t="str">
        <f>INDEX(Lists!$A:$A,4)</f>
        <v>1200</v>
      </c>
      <c r="B29">
        <f>COUNTIFS(tblModel[status],"MISMATCH",tblModel[gl_account],A29,tblModel[gl_account],$B$10,tblModel[source_account],$B$11,tblModel[posting_date],"&gt;="&amp;$B$12,tblModel[posting_date],"&lt;="&amp;$B$13)+COUNTIFS(tblModel[status],"UNMATCHED_A",tblModel[gl_account],A29,tblModel[gl_account],$B$10,tblModel[source_account],$B$11,tblModel[posting_date],"&gt;="&amp;$B$12,tblModel[posting_date],"&lt;="&amp;$B$13)</f>
        <v>0</v>
      </c>
    </row>
    <row r="30" spans="1:2">
      <c r="A30" t="str">
        <f>INDEX(Lists!$A:$A,5)</f>
        <v>2000</v>
      </c>
      <c r="B30">
        <f>COUNTIFS(tblModel[status],"MISMATCH",tblModel[gl_account],A30,tblModel[gl_account],$B$10,tblModel[source_account],$B$11,tblModel[posting_date],"&gt;="&amp;$B$12,tblModel[posting_date],"&lt;="&amp;$B$13)+COUNTIFS(tblModel[status],"UNMATCHED_A",tblModel[gl_account],A30,tblModel[gl_account],$B$10,tblModel[source_account],$B$11,tblModel[posting_date],"&gt;="&amp;$B$12,tblModel[posting_date],"&lt;="&amp;$B$13)</f>
        <v>2</v>
      </c>
    </row>
    <row r="31" spans="1:2">
      <c r="A31" t="str">
        <f>INDEX(Lists!$A:$A,6)</f>
        <v>2100</v>
      </c>
      <c r="B31">
        <f>COUNTIFS(tblModel[status],"MISMATCH",tblModel[gl_account],A31,tblModel[gl_account],$B$10,tblModel[source_account],$B$11,tblModel[posting_date],"&gt;="&amp;$B$12,tblModel[posting_date],"&lt;="&amp;$B$13)+COUNTIFS(tblModel[status],"UNMATCHED_A",tblModel[gl_account],A31,tblModel[gl_account],$B$10,tblModel[source_account],$B$11,tblModel[posting_date],"&gt;="&amp;$B$12,tblModel[posting_date],"&lt;="&amp;$B$13)</f>
        <v>0</v>
      </c>
    </row>
    <row r="32" spans="1:2">
      <c r="A32" t="str">
        <f>INDEX(Lists!$A:$A,7)</f>
        <v>3000</v>
      </c>
      <c r="B32">
        <f>COUNTIFS(tblModel[status],"MISMATCH",tblModel[gl_account],A32,tblModel[gl_account],$B$10,tblModel[source_account],$B$11,tblModel[posting_date],"&gt;="&amp;$B$12,tblModel[posting_date],"&lt;="&amp;$B$13)+COUNTIFS(tblModel[status],"UNMATCHED_A",tblModel[gl_account],A32,tblModel[gl_account],$B$10,tblModel[source_account],$B$11,tblModel[posting_date],"&gt;="&amp;$B$12,tblModel[posting_date],"&lt;="&amp;$B$13)</f>
        <v>11</v>
      </c>
    </row>
    <row r="33" spans="1:2">
      <c r="A33" t="str">
        <f>INDEX(Lists!$A:$A,8)</f>
        <v>4000</v>
      </c>
      <c r="B33">
        <f>COUNTIFS(tblModel[status],"MISMATCH",tblModel[gl_account],A33,tblModel[gl_account],$B$10,tblModel[source_account],$B$11,tblModel[posting_date],"&gt;="&amp;$B$12,tblModel[posting_date],"&lt;="&amp;$B$13)+COUNTIFS(tblModel[status],"UNMATCHED_A",tblModel[gl_account],A33,tblModel[gl_account],$B$10,tblModel[source_account],$B$11,tblModel[posting_date],"&gt;="&amp;$B$12,tblModel[posting_date],"&lt;="&amp;$B$13)</f>
        <v>5</v>
      </c>
    </row>
    <row r="34" spans="1:2">
      <c r="A34" t="str">
        <f>INDEX(Lists!$A:$A,9)</f>
        <v>5000</v>
      </c>
      <c r="B34">
        <f>COUNTIFS(tblModel[status],"MISMATCH",tblModel[gl_account],A34,tblModel[gl_account],$B$10,tblModel[source_account],$B$11,tblModel[posting_date],"&gt;="&amp;$B$12,tblModel[posting_date],"&lt;="&amp;$B$13)+COUNTIFS(tblModel[status],"UNMATCHED_A",tblModel[gl_account],A34,tblModel[gl_account],$B$10,tblModel[source_account],$B$11,tblModel[posting_date],"&gt;="&amp;$B$12,tblModel[posting_date],"&lt;="&amp;$B$13)</f>
        <v>5</v>
      </c>
    </row>
    <row r="35" spans="1:2">
      <c r="A35" t="str">
        <f>INDEX(Lists!$A:$A,10)</f>
        <v>6000</v>
      </c>
      <c r="B35">
        <f>COUNTIFS(tblModel[status],"MISMATCH",tblModel[gl_account],A35,tblModel[gl_account],$B$10,tblModel[source_account],$B$11,tblModel[posting_date],"&gt;="&amp;$B$12,tblModel[posting_date],"&lt;="&amp;$B$13)+COUNTIFS(tblModel[status],"UNMATCHED_A",tblModel[gl_account],A35,tblModel[gl_account],$B$10,tblModel[source_account],$B$11,tblModel[posting_date],"&gt;="&amp;$B$12,tblModel[posting_date],"&lt;="&amp;$B$13)</f>
        <v>2</v>
      </c>
    </row>
    <row r="36" spans="1:2">
      <c r="A36" t="str">
        <f>INDEX(Lists!$A:$A,11)</f>
        <v>7000</v>
      </c>
      <c r="B36">
        <f>COUNTIFS(tblModel[status],"MISMATCH",tblModel[gl_account],A36,tblModel[gl_account],$B$10,tblModel[source_account],$B$11,tblModel[posting_date],"&gt;="&amp;$B$12,tblModel[posting_date],"&lt;="&amp;$B$13)+COUNTIFS(tblModel[status],"UNMATCHED_A",tblModel[gl_account],A36,tblModel[gl_account],$B$10,tblModel[source_account],$B$11,tblModel[posting_date],"&gt;="&amp;$B$12,tblModel[posting_date],"&lt;="&amp;$B$13)</f>
        <v>0</v>
      </c>
    </row>
  </sheetData>
  <dataValidations count="2">
    <dataValidation type="list" allowBlank="1" showInputMessage="1" showErrorMessage="1" sqref="B4" xr:uid="{00000000-0002-0000-0000-000000000000}">
      <formula1>List_GL</formula1>
    </dataValidation>
    <dataValidation type="list" allowBlank="1" showInputMessage="1" showErrorMessage="1" sqref="B5" xr:uid="{00000000-0002-0000-0000-000001000000}">
      <formula1>List_Source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1.7109375" customWidth="1"/>
  </cols>
  <sheetData>
    <row r="1" spans="1:2">
      <c r="A1" t="s">
        <v>22</v>
      </c>
      <c r="B1" t="s">
        <v>23</v>
      </c>
    </row>
    <row r="2" spans="1:2">
      <c r="A2" t="s">
        <v>24</v>
      </c>
      <c r="B2">
        <v>380</v>
      </c>
    </row>
    <row r="3" spans="1:2">
      <c r="A3" t="s">
        <v>14</v>
      </c>
      <c r="B3">
        <v>212</v>
      </c>
    </row>
    <row r="4" spans="1:2">
      <c r="A4" t="s">
        <v>15</v>
      </c>
      <c r="B4">
        <v>49</v>
      </c>
    </row>
    <row r="5" spans="1:2">
      <c r="A5" t="s">
        <v>16</v>
      </c>
      <c r="B5">
        <v>0</v>
      </c>
    </row>
    <row r="6" spans="1:2">
      <c r="A6" t="s">
        <v>17</v>
      </c>
      <c r="B6">
        <v>39</v>
      </c>
    </row>
    <row r="7" spans="1:2">
      <c r="A7" t="s">
        <v>18</v>
      </c>
      <c r="B7">
        <v>40</v>
      </c>
    </row>
    <row r="8" spans="1:2">
      <c r="A8" t="s">
        <v>19</v>
      </c>
      <c r="B8">
        <v>40</v>
      </c>
    </row>
    <row r="9" spans="1:2">
      <c r="A9" t="s">
        <v>25</v>
      </c>
      <c r="B9">
        <v>1</v>
      </c>
    </row>
    <row r="10" spans="1:2">
      <c r="A10" t="s">
        <v>26</v>
      </c>
      <c r="B10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</cols>
  <sheetData>
    <row r="1" spans="1:2">
      <c r="A1" t="s">
        <v>27</v>
      </c>
      <c r="B1" t="s">
        <v>28</v>
      </c>
    </row>
    <row r="2" spans="1:2">
      <c r="A2" t="s">
        <v>14</v>
      </c>
      <c r="B2">
        <v>212</v>
      </c>
    </row>
    <row r="3" spans="1:2">
      <c r="A3" t="s">
        <v>15</v>
      </c>
      <c r="B3">
        <v>49</v>
      </c>
    </row>
    <row r="4" spans="1:2">
      <c r="A4" t="s">
        <v>16</v>
      </c>
      <c r="B4">
        <v>0</v>
      </c>
    </row>
    <row r="5" spans="1:2">
      <c r="A5" t="s">
        <v>17</v>
      </c>
      <c r="B5">
        <v>39</v>
      </c>
    </row>
    <row r="6" spans="1:2">
      <c r="A6" t="s">
        <v>18</v>
      </c>
      <c r="B6">
        <v>40</v>
      </c>
    </row>
    <row r="7" spans="1:2">
      <c r="A7" t="s">
        <v>19</v>
      </c>
      <c r="B7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20.7109375" customWidth="1"/>
    <col min="5" max="5" width="13.7109375" customWidth="1"/>
    <col min="6" max="8" width="11.7109375" customWidth="1"/>
    <col min="9" max="9" width="14.7109375" customWidth="1"/>
    <col min="10" max="10" width="15.7109375" customWidth="1"/>
    <col min="11" max="11" width="19.7109375" customWidth="1"/>
    <col min="12" max="12" width="15.7109375" customWidth="1"/>
    <col min="13" max="13" width="20.7109375" customWidth="1"/>
    <col min="14" max="17" width="11.7109375" customWidth="1"/>
    <col min="18" max="18" width="14.7109375" customWidth="1"/>
    <col min="19" max="19" width="15.7109375" customWidth="1"/>
    <col min="20" max="20" width="19.7109375" customWidth="1"/>
    <col min="21" max="21" width="18.7109375" customWidth="1"/>
    <col min="22" max="22" width="11.7109375" customWidth="1"/>
    <col min="23" max="23" width="12.7109375" customWidth="1"/>
    <col min="24" max="24" width="11.7109375" customWidth="1"/>
    <col min="25" max="25" width="12.7109375" customWidth="1"/>
  </cols>
  <sheetData>
    <row r="1" spans="1: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27</v>
      </c>
    </row>
    <row r="2" spans="1:25">
      <c r="A2" t="s">
        <v>53</v>
      </c>
      <c r="B2" t="s">
        <v>53</v>
      </c>
      <c r="C2" t="s">
        <v>54</v>
      </c>
      <c r="D2" t="s">
        <v>55</v>
      </c>
      <c r="E2" s="3">
        <v>45917</v>
      </c>
      <c r="F2">
        <v>-922.63</v>
      </c>
      <c r="G2" t="s">
        <v>56</v>
      </c>
      <c r="H2" t="s">
        <v>57</v>
      </c>
      <c r="I2" t="s">
        <v>58</v>
      </c>
      <c r="K2" t="s">
        <v>59</v>
      </c>
      <c r="L2" t="s">
        <v>60</v>
      </c>
      <c r="M2" t="s">
        <v>61</v>
      </c>
      <c r="N2" s="3">
        <v>45919</v>
      </c>
      <c r="O2">
        <v>-913.31</v>
      </c>
      <c r="P2" t="s">
        <v>56</v>
      </c>
      <c r="Q2" t="s">
        <v>57</v>
      </c>
      <c r="R2" t="s">
        <v>58</v>
      </c>
      <c r="T2" t="s">
        <v>59</v>
      </c>
      <c r="U2" t="s">
        <v>54</v>
      </c>
      <c r="V2" t="b">
        <v>1</v>
      </c>
      <c r="W2">
        <v>-9.32</v>
      </c>
      <c r="X2">
        <v>-2</v>
      </c>
      <c r="Y2" t="s">
        <v>17</v>
      </c>
    </row>
    <row r="3" spans="1:25">
      <c r="A3" t="s">
        <v>62</v>
      </c>
      <c r="B3" t="s">
        <v>62</v>
      </c>
      <c r="C3" t="s">
        <v>63</v>
      </c>
      <c r="D3" t="s">
        <v>64</v>
      </c>
      <c r="E3" s="3">
        <v>45880</v>
      </c>
      <c r="F3">
        <v>383.52</v>
      </c>
      <c r="G3" t="s">
        <v>56</v>
      </c>
      <c r="H3" t="s">
        <v>65</v>
      </c>
      <c r="I3" t="s">
        <v>58</v>
      </c>
      <c r="J3" t="s">
        <v>66</v>
      </c>
      <c r="K3" t="s">
        <v>67</v>
      </c>
      <c r="L3" t="s">
        <v>68</v>
      </c>
      <c r="M3" t="s">
        <v>69</v>
      </c>
      <c r="N3" s="3">
        <v>45880</v>
      </c>
      <c r="O3">
        <v>383.52</v>
      </c>
      <c r="P3" t="s">
        <v>56</v>
      </c>
      <c r="Q3" t="s">
        <v>65</v>
      </c>
      <c r="R3" t="s">
        <v>58</v>
      </c>
      <c r="S3" t="s">
        <v>66</v>
      </c>
      <c r="T3" t="s">
        <v>67</v>
      </c>
      <c r="U3" t="s">
        <v>63</v>
      </c>
      <c r="V3" t="b">
        <v>1</v>
      </c>
      <c r="W3">
        <v>0</v>
      </c>
      <c r="X3">
        <v>0</v>
      </c>
      <c r="Y3" t="s">
        <v>14</v>
      </c>
    </row>
    <row r="4" spans="1:25">
      <c r="A4" t="s">
        <v>70</v>
      </c>
      <c r="B4" t="s">
        <v>70</v>
      </c>
      <c r="C4" t="s">
        <v>71</v>
      </c>
      <c r="D4" t="s">
        <v>72</v>
      </c>
      <c r="E4" s="3">
        <v>45861</v>
      </c>
      <c r="F4">
        <v>-508.21</v>
      </c>
      <c r="G4" t="s">
        <v>56</v>
      </c>
      <c r="H4" t="s">
        <v>73</v>
      </c>
      <c r="I4" t="s">
        <v>58</v>
      </c>
      <c r="K4" t="s">
        <v>59</v>
      </c>
      <c r="L4" t="s">
        <v>74</v>
      </c>
      <c r="M4" t="s">
        <v>75</v>
      </c>
      <c r="N4" s="3">
        <v>45861</v>
      </c>
      <c r="O4">
        <v>-508.21</v>
      </c>
      <c r="P4" t="s">
        <v>56</v>
      </c>
      <c r="Q4" t="s">
        <v>73</v>
      </c>
      <c r="R4" t="s">
        <v>58</v>
      </c>
      <c r="T4" t="s">
        <v>59</v>
      </c>
      <c r="U4" t="s">
        <v>71</v>
      </c>
      <c r="V4" t="b">
        <v>1</v>
      </c>
      <c r="W4">
        <v>0</v>
      </c>
      <c r="X4">
        <v>0</v>
      </c>
      <c r="Y4" t="s">
        <v>14</v>
      </c>
    </row>
    <row r="5" spans="1:25">
      <c r="A5" t="s">
        <v>76</v>
      </c>
      <c r="B5" t="s">
        <v>76</v>
      </c>
      <c r="C5" t="s">
        <v>63</v>
      </c>
      <c r="D5" t="s">
        <v>64</v>
      </c>
      <c r="E5" s="3">
        <v>45917</v>
      </c>
      <c r="F5">
        <v>-601.88</v>
      </c>
      <c r="G5" t="s">
        <v>56</v>
      </c>
      <c r="H5" t="s">
        <v>57</v>
      </c>
      <c r="I5" t="s">
        <v>77</v>
      </c>
      <c r="J5" t="s">
        <v>66</v>
      </c>
      <c r="K5" t="s">
        <v>78</v>
      </c>
      <c r="L5" t="s">
        <v>68</v>
      </c>
      <c r="M5" t="s">
        <v>69</v>
      </c>
      <c r="N5" s="3">
        <v>45915</v>
      </c>
      <c r="O5">
        <v>-594.58000000000004</v>
      </c>
      <c r="P5" t="s">
        <v>56</v>
      </c>
      <c r="Q5" t="s">
        <v>57</v>
      </c>
      <c r="R5" t="s">
        <v>77</v>
      </c>
      <c r="S5" t="s">
        <v>66</v>
      </c>
      <c r="T5" t="s">
        <v>78</v>
      </c>
      <c r="U5" t="s">
        <v>63</v>
      </c>
      <c r="V5" t="b">
        <v>1</v>
      </c>
      <c r="W5">
        <v>-7.3</v>
      </c>
      <c r="X5">
        <v>2</v>
      </c>
      <c r="Y5" t="s">
        <v>17</v>
      </c>
    </row>
    <row r="6" spans="1:25">
      <c r="A6" t="s">
        <v>79</v>
      </c>
      <c r="B6" t="s">
        <v>79</v>
      </c>
      <c r="C6" t="s">
        <v>63</v>
      </c>
      <c r="D6" t="s">
        <v>64</v>
      </c>
      <c r="E6" s="3">
        <v>45892</v>
      </c>
      <c r="F6">
        <v>302.77</v>
      </c>
      <c r="G6" t="s">
        <v>56</v>
      </c>
      <c r="H6" t="s">
        <v>80</v>
      </c>
      <c r="I6" t="s">
        <v>77</v>
      </c>
      <c r="J6" t="s">
        <v>81</v>
      </c>
      <c r="K6" t="s">
        <v>59</v>
      </c>
      <c r="L6" t="s">
        <v>82</v>
      </c>
      <c r="M6" t="s">
        <v>83</v>
      </c>
      <c r="N6" s="3">
        <v>45892</v>
      </c>
      <c r="O6">
        <v>302.77</v>
      </c>
      <c r="P6" t="s">
        <v>56</v>
      </c>
      <c r="Q6" t="s">
        <v>80</v>
      </c>
      <c r="R6" t="s">
        <v>77</v>
      </c>
      <c r="S6" t="s">
        <v>81</v>
      </c>
      <c r="T6" t="s">
        <v>59</v>
      </c>
      <c r="U6" t="s">
        <v>63</v>
      </c>
      <c r="V6" t="b">
        <v>1</v>
      </c>
      <c r="W6">
        <v>0</v>
      </c>
      <c r="X6">
        <v>0</v>
      </c>
      <c r="Y6" t="s">
        <v>14</v>
      </c>
    </row>
    <row r="7" spans="1:25">
      <c r="A7" t="s">
        <v>84</v>
      </c>
      <c r="B7" t="s">
        <v>84</v>
      </c>
      <c r="C7" t="s">
        <v>63</v>
      </c>
      <c r="D7" t="s">
        <v>64</v>
      </c>
      <c r="E7" s="3">
        <v>45893</v>
      </c>
      <c r="F7">
        <v>-500.52</v>
      </c>
      <c r="G7" t="s">
        <v>56</v>
      </c>
      <c r="H7" t="s">
        <v>65</v>
      </c>
      <c r="I7" t="s">
        <v>58</v>
      </c>
      <c r="J7" t="s">
        <v>85</v>
      </c>
      <c r="K7" t="s">
        <v>59</v>
      </c>
      <c r="L7" t="s">
        <v>68</v>
      </c>
      <c r="M7" t="s">
        <v>69</v>
      </c>
      <c r="N7" s="3">
        <v>45893</v>
      </c>
      <c r="O7">
        <v>-500.52</v>
      </c>
      <c r="P7" t="s">
        <v>56</v>
      </c>
      <c r="Q7" t="s">
        <v>65</v>
      </c>
      <c r="R7" t="s">
        <v>58</v>
      </c>
      <c r="S7" t="s">
        <v>85</v>
      </c>
      <c r="T7" t="s">
        <v>59</v>
      </c>
      <c r="U7" t="s">
        <v>63</v>
      </c>
      <c r="V7" t="b">
        <v>1</v>
      </c>
      <c r="W7">
        <v>0</v>
      </c>
      <c r="X7">
        <v>0</v>
      </c>
      <c r="Y7" t="s">
        <v>14</v>
      </c>
    </row>
    <row r="8" spans="1:25">
      <c r="A8" t="s">
        <v>86</v>
      </c>
      <c r="B8" t="s">
        <v>86</v>
      </c>
      <c r="C8" t="s">
        <v>87</v>
      </c>
      <c r="D8" t="s">
        <v>88</v>
      </c>
      <c r="E8" s="3">
        <v>45880</v>
      </c>
      <c r="F8">
        <v>-499.78</v>
      </c>
      <c r="G8" t="s">
        <v>56</v>
      </c>
      <c r="H8" t="s">
        <v>57</v>
      </c>
      <c r="I8" t="s">
        <v>58</v>
      </c>
      <c r="J8" t="s">
        <v>85</v>
      </c>
      <c r="K8" t="s">
        <v>78</v>
      </c>
      <c r="L8" t="s">
        <v>89</v>
      </c>
      <c r="M8" t="s">
        <v>90</v>
      </c>
      <c r="N8" s="3">
        <v>45880</v>
      </c>
      <c r="O8">
        <v>-499.78</v>
      </c>
      <c r="P8" t="s">
        <v>56</v>
      </c>
      <c r="Q8" t="s">
        <v>57</v>
      </c>
      <c r="R8" t="s">
        <v>58</v>
      </c>
      <c r="S8" t="s">
        <v>85</v>
      </c>
      <c r="T8" t="s">
        <v>78</v>
      </c>
      <c r="U8" t="s">
        <v>87</v>
      </c>
      <c r="V8" t="b">
        <v>1</v>
      </c>
      <c r="W8">
        <v>0</v>
      </c>
      <c r="X8">
        <v>0</v>
      </c>
      <c r="Y8" t="s">
        <v>14</v>
      </c>
    </row>
    <row r="9" spans="1:25">
      <c r="A9" t="s">
        <v>91</v>
      </c>
      <c r="B9" t="s">
        <v>91</v>
      </c>
      <c r="C9" t="s">
        <v>92</v>
      </c>
      <c r="D9" t="s">
        <v>93</v>
      </c>
      <c r="E9" s="3">
        <v>45900</v>
      </c>
      <c r="F9">
        <v>61.32</v>
      </c>
      <c r="G9" t="s">
        <v>56</v>
      </c>
      <c r="H9" t="s">
        <v>80</v>
      </c>
      <c r="I9" t="s">
        <v>77</v>
      </c>
      <c r="J9" t="s">
        <v>85</v>
      </c>
      <c r="K9" t="s">
        <v>67</v>
      </c>
      <c r="L9" t="s">
        <v>94</v>
      </c>
      <c r="M9" t="s">
        <v>95</v>
      </c>
      <c r="N9" s="3">
        <v>45900</v>
      </c>
      <c r="O9">
        <v>61.32</v>
      </c>
      <c r="P9" t="s">
        <v>56</v>
      </c>
      <c r="Q9" t="s">
        <v>80</v>
      </c>
      <c r="R9" t="s">
        <v>77</v>
      </c>
      <c r="S9" t="s">
        <v>85</v>
      </c>
      <c r="T9" t="s">
        <v>67</v>
      </c>
      <c r="U9" t="s">
        <v>92</v>
      </c>
      <c r="V9" t="b">
        <v>1</v>
      </c>
      <c r="W9">
        <v>0</v>
      </c>
      <c r="X9">
        <v>0</v>
      </c>
      <c r="Y9" t="s">
        <v>14</v>
      </c>
    </row>
    <row r="10" spans="1:25">
      <c r="A10" t="s">
        <v>96</v>
      </c>
      <c r="B10" t="s">
        <v>96</v>
      </c>
      <c r="C10" t="s">
        <v>54</v>
      </c>
      <c r="D10" t="s">
        <v>55</v>
      </c>
      <c r="E10" s="3">
        <v>45876</v>
      </c>
      <c r="F10">
        <v>-754.41</v>
      </c>
      <c r="G10" t="s">
        <v>56</v>
      </c>
      <c r="H10" t="s">
        <v>65</v>
      </c>
      <c r="I10" t="s">
        <v>97</v>
      </c>
      <c r="J10" t="s">
        <v>66</v>
      </c>
      <c r="K10" t="s">
        <v>59</v>
      </c>
      <c r="L10" t="s">
        <v>60</v>
      </c>
      <c r="M10" t="s">
        <v>61</v>
      </c>
      <c r="N10" s="3">
        <v>45876</v>
      </c>
      <c r="O10">
        <v>-754.41</v>
      </c>
      <c r="P10" t="s">
        <v>56</v>
      </c>
      <c r="Q10" t="s">
        <v>65</v>
      </c>
      <c r="R10" t="s">
        <v>97</v>
      </c>
      <c r="S10" t="s">
        <v>66</v>
      </c>
      <c r="T10" t="s">
        <v>59</v>
      </c>
      <c r="U10" t="s">
        <v>54</v>
      </c>
      <c r="V10" t="b">
        <v>1</v>
      </c>
      <c r="W10">
        <v>0</v>
      </c>
      <c r="X10">
        <v>0</v>
      </c>
      <c r="Y10" t="s">
        <v>14</v>
      </c>
    </row>
    <row r="11" spans="1:25">
      <c r="A11" t="s">
        <v>98</v>
      </c>
      <c r="B11" t="s">
        <v>98</v>
      </c>
      <c r="C11" t="s">
        <v>87</v>
      </c>
      <c r="D11" t="s">
        <v>88</v>
      </c>
      <c r="E11" s="3">
        <v>45890</v>
      </c>
      <c r="F11">
        <v>650.12</v>
      </c>
      <c r="G11" t="s">
        <v>56</v>
      </c>
      <c r="H11" t="s">
        <v>80</v>
      </c>
      <c r="I11" t="s">
        <v>77</v>
      </c>
      <c r="J11" t="s">
        <v>99</v>
      </c>
      <c r="K11" t="s">
        <v>59</v>
      </c>
      <c r="L11" t="s">
        <v>100</v>
      </c>
      <c r="M11" t="s">
        <v>101</v>
      </c>
      <c r="N11" s="3">
        <v>45891</v>
      </c>
      <c r="O11">
        <v>649.16999999999996</v>
      </c>
      <c r="P11" t="s">
        <v>56</v>
      </c>
      <c r="Q11" t="s">
        <v>80</v>
      </c>
      <c r="R11" t="s">
        <v>77</v>
      </c>
      <c r="S11" t="s">
        <v>99</v>
      </c>
      <c r="T11" t="s">
        <v>59</v>
      </c>
      <c r="U11" t="s">
        <v>87</v>
      </c>
      <c r="V11" t="b">
        <v>1</v>
      </c>
      <c r="W11">
        <v>0.95</v>
      </c>
      <c r="X11">
        <v>-1</v>
      </c>
      <c r="Y11" t="s">
        <v>15</v>
      </c>
    </row>
    <row r="12" spans="1:25">
      <c r="A12" t="s">
        <v>102</v>
      </c>
      <c r="B12" t="s">
        <v>102</v>
      </c>
      <c r="C12" t="s">
        <v>63</v>
      </c>
      <c r="D12" t="s">
        <v>64</v>
      </c>
      <c r="E12" s="3">
        <v>45864</v>
      </c>
      <c r="F12">
        <v>343.64</v>
      </c>
      <c r="G12" t="s">
        <v>56</v>
      </c>
      <c r="H12" t="s">
        <v>65</v>
      </c>
      <c r="I12" t="s">
        <v>103</v>
      </c>
      <c r="J12" t="s">
        <v>81</v>
      </c>
      <c r="K12" t="s">
        <v>67</v>
      </c>
      <c r="L12" t="s">
        <v>68</v>
      </c>
      <c r="M12" t="s">
        <v>69</v>
      </c>
      <c r="N12" s="3">
        <v>45865</v>
      </c>
      <c r="O12">
        <v>343.79</v>
      </c>
      <c r="P12" t="s">
        <v>56</v>
      </c>
      <c r="Q12" t="s">
        <v>65</v>
      </c>
      <c r="R12" t="s">
        <v>103</v>
      </c>
      <c r="S12" t="s">
        <v>81</v>
      </c>
      <c r="T12" t="s">
        <v>67</v>
      </c>
      <c r="U12" t="s">
        <v>63</v>
      </c>
      <c r="V12" t="b">
        <v>1</v>
      </c>
      <c r="W12">
        <v>-0.15</v>
      </c>
      <c r="X12">
        <v>-1</v>
      </c>
      <c r="Y12" t="s">
        <v>15</v>
      </c>
    </row>
    <row r="13" spans="1:25">
      <c r="A13" t="s">
        <v>104</v>
      </c>
      <c r="B13" t="s">
        <v>104</v>
      </c>
      <c r="C13" t="s">
        <v>71</v>
      </c>
      <c r="D13" t="s">
        <v>72</v>
      </c>
      <c r="E13" s="3">
        <v>45859</v>
      </c>
      <c r="F13">
        <v>457.11</v>
      </c>
      <c r="G13" t="s">
        <v>56</v>
      </c>
      <c r="H13" t="s">
        <v>57</v>
      </c>
      <c r="I13" t="s">
        <v>103</v>
      </c>
      <c r="J13" t="s">
        <v>99</v>
      </c>
      <c r="K13" t="s">
        <v>105</v>
      </c>
      <c r="L13" t="s">
        <v>74</v>
      </c>
      <c r="M13" t="s">
        <v>75</v>
      </c>
      <c r="N13" s="3">
        <v>45859</v>
      </c>
      <c r="O13">
        <v>457.11</v>
      </c>
      <c r="P13" t="s">
        <v>56</v>
      </c>
      <c r="Q13" t="s">
        <v>57</v>
      </c>
      <c r="R13" t="s">
        <v>103</v>
      </c>
      <c r="S13" t="s">
        <v>99</v>
      </c>
      <c r="T13" t="s">
        <v>105</v>
      </c>
      <c r="U13" t="s">
        <v>71</v>
      </c>
      <c r="V13" t="b">
        <v>1</v>
      </c>
      <c r="W13">
        <v>0</v>
      </c>
      <c r="X13">
        <v>0</v>
      </c>
      <c r="Y13" t="s">
        <v>14</v>
      </c>
    </row>
    <row r="14" spans="1:25">
      <c r="A14" t="s">
        <v>106</v>
      </c>
      <c r="B14" t="s">
        <v>106</v>
      </c>
      <c r="C14" t="s">
        <v>54</v>
      </c>
      <c r="D14" t="s">
        <v>55</v>
      </c>
      <c r="E14" s="3">
        <v>45895</v>
      </c>
      <c r="F14">
        <v>626.32000000000005</v>
      </c>
      <c r="G14" t="s">
        <v>56</v>
      </c>
      <c r="H14" t="s">
        <v>73</v>
      </c>
      <c r="I14" t="s">
        <v>58</v>
      </c>
      <c r="K14" t="s">
        <v>107</v>
      </c>
      <c r="L14" t="s">
        <v>60</v>
      </c>
      <c r="M14" t="s">
        <v>61</v>
      </c>
      <c r="N14" s="3">
        <v>45895</v>
      </c>
      <c r="O14">
        <v>626.32000000000005</v>
      </c>
      <c r="P14" t="s">
        <v>56</v>
      </c>
      <c r="Q14" t="s">
        <v>73</v>
      </c>
      <c r="R14" t="s">
        <v>58</v>
      </c>
      <c r="T14" t="s">
        <v>107</v>
      </c>
      <c r="U14" t="s">
        <v>54</v>
      </c>
      <c r="V14" t="b">
        <v>1</v>
      </c>
      <c r="W14">
        <v>0</v>
      </c>
      <c r="X14">
        <v>0</v>
      </c>
      <c r="Y14" t="s">
        <v>14</v>
      </c>
    </row>
    <row r="15" spans="1:25">
      <c r="A15" t="s">
        <v>108</v>
      </c>
      <c r="B15" t="s">
        <v>108</v>
      </c>
      <c r="C15" t="s">
        <v>87</v>
      </c>
      <c r="D15" t="s">
        <v>88</v>
      </c>
      <c r="E15" s="3">
        <v>45887</v>
      </c>
      <c r="F15">
        <v>434.66</v>
      </c>
      <c r="G15" t="s">
        <v>56</v>
      </c>
      <c r="H15" t="s">
        <v>57</v>
      </c>
      <c r="I15" t="s">
        <v>58</v>
      </c>
      <c r="J15" t="s">
        <v>109</v>
      </c>
      <c r="K15" t="s">
        <v>105</v>
      </c>
      <c r="L15" t="s">
        <v>100</v>
      </c>
      <c r="M15" t="s">
        <v>101</v>
      </c>
      <c r="N15" s="3">
        <v>45890</v>
      </c>
      <c r="O15">
        <v>446.39</v>
      </c>
      <c r="P15" t="s">
        <v>56</v>
      </c>
      <c r="Q15" t="s">
        <v>57</v>
      </c>
      <c r="R15" t="s">
        <v>58</v>
      </c>
      <c r="S15" t="s">
        <v>109</v>
      </c>
      <c r="T15" t="s">
        <v>105</v>
      </c>
      <c r="U15" t="s">
        <v>87</v>
      </c>
      <c r="V15" t="b">
        <v>1</v>
      </c>
      <c r="W15">
        <v>-11.73</v>
      </c>
      <c r="X15">
        <v>-3</v>
      </c>
      <c r="Y15" t="s">
        <v>17</v>
      </c>
    </row>
    <row r="16" spans="1:25">
      <c r="A16" t="s">
        <v>110</v>
      </c>
      <c r="B16" t="s">
        <v>110</v>
      </c>
      <c r="C16" t="s">
        <v>87</v>
      </c>
      <c r="D16" t="s">
        <v>88</v>
      </c>
      <c r="E16" s="3">
        <v>45898</v>
      </c>
      <c r="F16">
        <v>439.31</v>
      </c>
      <c r="G16" t="s">
        <v>56</v>
      </c>
      <c r="H16" t="s">
        <v>73</v>
      </c>
      <c r="I16" t="s">
        <v>103</v>
      </c>
      <c r="J16" t="s">
        <v>109</v>
      </c>
      <c r="K16" t="s">
        <v>67</v>
      </c>
      <c r="L16" t="s">
        <v>100</v>
      </c>
      <c r="M16" t="s">
        <v>101</v>
      </c>
      <c r="N16" s="3">
        <v>45898</v>
      </c>
      <c r="O16">
        <v>439.31</v>
      </c>
      <c r="P16" t="s">
        <v>56</v>
      </c>
      <c r="Q16" t="s">
        <v>73</v>
      </c>
      <c r="R16" t="s">
        <v>103</v>
      </c>
      <c r="S16" t="s">
        <v>109</v>
      </c>
      <c r="T16" t="s">
        <v>67</v>
      </c>
      <c r="U16" t="s">
        <v>87</v>
      </c>
      <c r="V16" t="b">
        <v>1</v>
      </c>
      <c r="W16">
        <v>0</v>
      </c>
      <c r="X16">
        <v>0</v>
      </c>
      <c r="Y16" t="s">
        <v>14</v>
      </c>
    </row>
    <row r="17" spans="1:25">
      <c r="A17" t="s">
        <v>111</v>
      </c>
      <c r="B17" t="s">
        <v>111</v>
      </c>
      <c r="C17" t="s">
        <v>54</v>
      </c>
      <c r="D17" t="s">
        <v>55</v>
      </c>
      <c r="E17" s="3">
        <v>45858</v>
      </c>
      <c r="F17">
        <v>136.69</v>
      </c>
      <c r="G17" t="s">
        <v>56</v>
      </c>
      <c r="H17" t="s">
        <v>80</v>
      </c>
      <c r="I17" t="s">
        <v>97</v>
      </c>
      <c r="J17" t="s">
        <v>85</v>
      </c>
      <c r="K17" t="s">
        <v>107</v>
      </c>
      <c r="L17" t="s">
        <v>60</v>
      </c>
      <c r="M17" t="s">
        <v>61</v>
      </c>
      <c r="N17" s="3">
        <v>45858</v>
      </c>
      <c r="O17">
        <v>136.69</v>
      </c>
      <c r="P17" t="s">
        <v>56</v>
      </c>
      <c r="Q17" t="s">
        <v>80</v>
      </c>
      <c r="R17" t="s">
        <v>97</v>
      </c>
      <c r="S17" t="s">
        <v>85</v>
      </c>
      <c r="T17" t="s">
        <v>107</v>
      </c>
      <c r="U17" t="s">
        <v>54</v>
      </c>
      <c r="V17" t="b">
        <v>1</v>
      </c>
      <c r="W17">
        <v>0</v>
      </c>
      <c r="X17">
        <v>0</v>
      </c>
      <c r="Y17" t="s">
        <v>14</v>
      </c>
    </row>
    <row r="18" spans="1:25">
      <c r="A18" t="s">
        <v>112</v>
      </c>
      <c r="B18" t="s">
        <v>112</v>
      </c>
      <c r="C18" t="s">
        <v>92</v>
      </c>
      <c r="D18" t="s">
        <v>93</v>
      </c>
      <c r="E18" s="3">
        <v>45860</v>
      </c>
      <c r="F18">
        <v>-638.65</v>
      </c>
      <c r="G18" t="s">
        <v>56</v>
      </c>
      <c r="H18" t="s">
        <v>80</v>
      </c>
      <c r="I18" t="s">
        <v>97</v>
      </c>
      <c r="J18" t="s">
        <v>109</v>
      </c>
      <c r="K18" t="s">
        <v>78</v>
      </c>
      <c r="L18" t="s">
        <v>94</v>
      </c>
      <c r="M18" t="s">
        <v>95</v>
      </c>
      <c r="N18" s="3">
        <v>45859</v>
      </c>
      <c r="O18">
        <v>-631.24</v>
      </c>
      <c r="P18" t="s">
        <v>56</v>
      </c>
      <c r="Q18" t="s">
        <v>80</v>
      </c>
      <c r="R18" t="s">
        <v>97</v>
      </c>
      <c r="S18" t="s">
        <v>109</v>
      </c>
      <c r="T18" t="s">
        <v>78</v>
      </c>
      <c r="U18" t="s">
        <v>92</v>
      </c>
      <c r="V18" t="b">
        <v>1</v>
      </c>
      <c r="W18">
        <v>-7.41</v>
      </c>
      <c r="X18">
        <v>1</v>
      </c>
      <c r="Y18" t="s">
        <v>17</v>
      </c>
    </row>
    <row r="19" spans="1:25">
      <c r="A19" t="s">
        <v>113</v>
      </c>
      <c r="B19" t="s">
        <v>113</v>
      </c>
      <c r="C19" t="s">
        <v>71</v>
      </c>
      <c r="D19" t="s">
        <v>72</v>
      </c>
      <c r="E19" s="3">
        <v>45882</v>
      </c>
      <c r="F19">
        <v>530.97</v>
      </c>
      <c r="G19" t="s">
        <v>56</v>
      </c>
      <c r="H19" t="s">
        <v>73</v>
      </c>
      <c r="I19" t="s">
        <v>58</v>
      </c>
      <c r="J19" t="s">
        <v>81</v>
      </c>
      <c r="K19" t="s">
        <v>67</v>
      </c>
      <c r="L19" t="s">
        <v>74</v>
      </c>
      <c r="M19" t="s">
        <v>75</v>
      </c>
      <c r="N19" s="3">
        <v>45882</v>
      </c>
      <c r="O19">
        <v>530.97</v>
      </c>
      <c r="P19" t="s">
        <v>56</v>
      </c>
      <c r="Q19" t="s">
        <v>73</v>
      </c>
      <c r="R19" t="s">
        <v>58</v>
      </c>
      <c r="S19" t="s">
        <v>81</v>
      </c>
      <c r="T19" t="s">
        <v>67</v>
      </c>
      <c r="U19" t="s">
        <v>71</v>
      </c>
      <c r="V19" t="b">
        <v>1</v>
      </c>
      <c r="W19">
        <v>0</v>
      </c>
      <c r="X19">
        <v>0</v>
      </c>
      <c r="Y19" t="s">
        <v>14</v>
      </c>
    </row>
    <row r="20" spans="1:25">
      <c r="A20" t="s">
        <v>114</v>
      </c>
      <c r="B20" t="s">
        <v>114</v>
      </c>
      <c r="C20" t="s">
        <v>71</v>
      </c>
      <c r="D20" t="s">
        <v>72</v>
      </c>
      <c r="E20" s="3">
        <v>45892</v>
      </c>
      <c r="F20">
        <v>-568.61</v>
      </c>
      <c r="G20" t="s">
        <v>56</v>
      </c>
      <c r="H20" t="s">
        <v>65</v>
      </c>
      <c r="I20" t="s">
        <v>77</v>
      </c>
      <c r="K20" t="s">
        <v>59</v>
      </c>
      <c r="L20" t="s">
        <v>74</v>
      </c>
      <c r="M20" t="s">
        <v>75</v>
      </c>
      <c r="N20" s="3">
        <v>45892</v>
      </c>
      <c r="O20">
        <v>-568.61</v>
      </c>
      <c r="P20" t="s">
        <v>56</v>
      </c>
      <c r="Q20" t="s">
        <v>65</v>
      </c>
      <c r="R20" t="s">
        <v>77</v>
      </c>
      <c r="T20" t="s">
        <v>59</v>
      </c>
      <c r="U20" t="s">
        <v>71</v>
      </c>
      <c r="V20" t="b">
        <v>1</v>
      </c>
      <c r="W20">
        <v>0</v>
      </c>
      <c r="X20">
        <v>0</v>
      </c>
      <c r="Y20" t="s">
        <v>14</v>
      </c>
    </row>
    <row r="21" spans="1:25">
      <c r="A21" t="s">
        <v>115</v>
      </c>
      <c r="B21" t="s">
        <v>115</v>
      </c>
      <c r="C21" t="s">
        <v>87</v>
      </c>
      <c r="D21" t="s">
        <v>88</v>
      </c>
      <c r="E21" s="3">
        <v>45902</v>
      </c>
      <c r="F21">
        <v>118.37</v>
      </c>
      <c r="G21" t="s">
        <v>56</v>
      </c>
      <c r="H21" t="s">
        <v>80</v>
      </c>
      <c r="I21" t="s">
        <v>77</v>
      </c>
      <c r="J21" t="s">
        <v>81</v>
      </c>
      <c r="K21" t="s">
        <v>78</v>
      </c>
      <c r="L21" t="s">
        <v>100</v>
      </c>
      <c r="M21" t="s">
        <v>101</v>
      </c>
      <c r="N21" s="3">
        <v>45902</v>
      </c>
      <c r="O21">
        <v>118.37</v>
      </c>
      <c r="P21" t="s">
        <v>56</v>
      </c>
      <c r="Q21" t="s">
        <v>80</v>
      </c>
      <c r="R21" t="s">
        <v>77</v>
      </c>
      <c r="S21" t="s">
        <v>81</v>
      </c>
      <c r="T21" t="s">
        <v>78</v>
      </c>
      <c r="U21" t="s">
        <v>87</v>
      </c>
      <c r="V21" t="b">
        <v>1</v>
      </c>
      <c r="W21">
        <v>0</v>
      </c>
      <c r="X21">
        <v>0</v>
      </c>
      <c r="Y21" t="s">
        <v>14</v>
      </c>
    </row>
    <row r="22" spans="1:25">
      <c r="A22" t="s">
        <v>116</v>
      </c>
      <c r="B22" t="s">
        <v>116</v>
      </c>
      <c r="C22" t="s">
        <v>63</v>
      </c>
      <c r="D22" t="s">
        <v>64</v>
      </c>
      <c r="E22" s="3">
        <v>45868</v>
      </c>
      <c r="F22">
        <v>-912.67</v>
      </c>
      <c r="G22" t="s">
        <v>56</v>
      </c>
      <c r="H22" t="s">
        <v>65</v>
      </c>
      <c r="I22" t="s">
        <v>58</v>
      </c>
      <c r="J22" t="s">
        <v>117</v>
      </c>
      <c r="L22" t="s">
        <v>68</v>
      </c>
      <c r="M22" t="s">
        <v>69</v>
      </c>
      <c r="N22" s="3">
        <v>45870</v>
      </c>
      <c r="O22">
        <v>-912.71</v>
      </c>
      <c r="P22" t="s">
        <v>56</v>
      </c>
      <c r="Q22" t="s">
        <v>65</v>
      </c>
      <c r="R22" t="s">
        <v>58</v>
      </c>
      <c r="S22" t="s">
        <v>117</v>
      </c>
      <c r="U22" t="s">
        <v>63</v>
      </c>
      <c r="V22" t="b">
        <v>1</v>
      </c>
      <c r="W22">
        <v>0.04</v>
      </c>
      <c r="X22">
        <v>-2</v>
      </c>
      <c r="Y22" t="s">
        <v>15</v>
      </c>
    </row>
    <row r="23" spans="1:25">
      <c r="A23" t="s">
        <v>118</v>
      </c>
      <c r="B23" t="s">
        <v>118</v>
      </c>
      <c r="C23" t="s">
        <v>119</v>
      </c>
      <c r="D23" t="s">
        <v>120</v>
      </c>
      <c r="E23" s="3">
        <v>45868</v>
      </c>
      <c r="F23">
        <v>-538.58000000000004</v>
      </c>
      <c r="G23" t="s">
        <v>56</v>
      </c>
      <c r="H23" t="s">
        <v>57</v>
      </c>
      <c r="I23" t="s">
        <v>97</v>
      </c>
      <c r="J23" t="s">
        <v>117</v>
      </c>
      <c r="K23" t="s">
        <v>59</v>
      </c>
      <c r="L23" t="s">
        <v>121</v>
      </c>
      <c r="M23" t="s">
        <v>122</v>
      </c>
      <c r="N23" s="3">
        <v>45868</v>
      </c>
      <c r="O23">
        <v>-538.58000000000004</v>
      </c>
      <c r="P23" t="s">
        <v>56</v>
      </c>
      <c r="Q23" t="s">
        <v>57</v>
      </c>
      <c r="R23" t="s">
        <v>97</v>
      </c>
      <c r="S23" t="s">
        <v>117</v>
      </c>
      <c r="T23" t="s">
        <v>59</v>
      </c>
      <c r="U23" t="s">
        <v>119</v>
      </c>
      <c r="V23" t="b">
        <v>1</v>
      </c>
      <c r="W23">
        <v>0</v>
      </c>
      <c r="X23">
        <v>0</v>
      </c>
      <c r="Y23" t="s">
        <v>14</v>
      </c>
    </row>
    <row r="24" spans="1:25">
      <c r="A24" t="s">
        <v>123</v>
      </c>
      <c r="B24" t="s">
        <v>123</v>
      </c>
      <c r="C24" t="s">
        <v>54</v>
      </c>
      <c r="D24" t="s">
        <v>55</v>
      </c>
      <c r="E24" s="3">
        <v>45896</v>
      </c>
      <c r="F24">
        <v>403.22</v>
      </c>
      <c r="G24" t="s">
        <v>56</v>
      </c>
      <c r="H24" t="s">
        <v>65</v>
      </c>
      <c r="I24" t="s">
        <v>58</v>
      </c>
      <c r="J24" t="s">
        <v>117</v>
      </c>
      <c r="L24" t="s">
        <v>60</v>
      </c>
      <c r="M24" t="s">
        <v>61</v>
      </c>
      <c r="N24" s="3">
        <v>45896</v>
      </c>
      <c r="O24">
        <v>403.22</v>
      </c>
      <c r="P24" t="s">
        <v>56</v>
      </c>
      <c r="Q24" t="s">
        <v>65</v>
      </c>
      <c r="R24" t="s">
        <v>58</v>
      </c>
      <c r="S24" t="s">
        <v>117</v>
      </c>
      <c r="U24" t="s">
        <v>54</v>
      </c>
      <c r="V24" t="b">
        <v>1</v>
      </c>
      <c r="W24">
        <v>0</v>
      </c>
      <c r="X24">
        <v>0</v>
      </c>
      <c r="Y24" t="s">
        <v>14</v>
      </c>
    </row>
    <row r="25" spans="1:25">
      <c r="A25" t="s">
        <v>124</v>
      </c>
      <c r="B25" t="s">
        <v>124</v>
      </c>
      <c r="C25" t="s">
        <v>92</v>
      </c>
      <c r="D25" t="s">
        <v>93</v>
      </c>
      <c r="E25" s="3">
        <v>45882</v>
      </c>
      <c r="F25">
        <v>-1007.27</v>
      </c>
      <c r="G25" t="s">
        <v>56</v>
      </c>
      <c r="H25" t="s">
        <v>73</v>
      </c>
      <c r="I25" t="s">
        <v>58</v>
      </c>
      <c r="J25" t="s">
        <v>117</v>
      </c>
      <c r="K25" t="s">
        <v>105</v>
      </c>
      <c r="L25" t="s">
        <v>125</v>
      </c>
      <c r="M25" t="s">
        <v>126</v>
      </c>
      <c r="N25" s="3">
        <v>45882</v>
      </c>
      <c r="O25">
        <v>-1006.43</v>
      </c>
      <c r="P25" t="s">
        <v>56</v>
      </c>
      <c r="Q25" t="s">
        <v>73</v>
      </c>
      <c r="R25" t="s">
        <v>58</v>
      </c>
      <c r="S25" t="s">
        <v>117</v>
      </c>
      <c r="T25" t="s">
        <v>105</v>
      </c>
      <c r="U25" t="s">
        <v>92</v>
      </c>
      <c r="V25" t="b">
        <v>1</v>
      </c>
      <c r="W25">
        <v>-0.84</v>
      </c>
      <c r="X25">
        <v>0</v>
      </c>
      <c r="Y25" t="s">
        <v>15</v>
      </c>
    </row>
    <row r="26" spans="1:25">
      <c r="A26" t="s">
        <v>127</v>
      </c>
      <c r="B26" t="s">
        <v>127</v>
      </c>
      <c r="C26" t="s">
        <v>71</v>
      </c>
      <c r="D26" t="s">
        <v>72</v>
      </c>
      <c r="E26" s="3">
        <v>45860</v>
      </c>
      <c r="F26">
        <v>-488.65</v>
      </c>
      <c r="G26" t="s">
        <v>56</v>
      </c>
      <c r="H26" t="s">
        <v>65</v>
      </c>
      <c r="I26" t="s">
        <v>77</v>
      </c>
      <c r="J26" t="s">
        <v>81</v>
      </c>
      <c r="K26" t="s">
        <v>107</v>
      </c>
      <c r="L26" t="s">
        <v>74</v>
      </c>
      <c r="M26" t="s">
        <v>75</v>
      </c>
      <c r="N26" s="3">
        <v>45861</v>
      </c>
      <c r="O26">
        <v>-489.4</v>
      </c>
      <c r="P26" t="s">
        <v>56</v>
      </c>
      <c r="Q26" t="s">
        <v>65</v>
      </c>
      <c r="R26" t="s">
        <v>77</v>
      </c>
      <c r="S26" t="s">
        <v>81</v>
      </c>
      <c r="T26" t="s">
        <v>107</v>
      </c>
      <c r="U26" t="s">
        <v>71</v>
      </c>
      <c r="V26" t="b">
        <v>1</v>
      </c>
      <c r="W26">
        <v>0.75</v>
      </c>
      <c r="X26">
        <v>-1</v>
      </c>
      <c r="Y26" t="s">
        <v>15</v>
      </c>
    </row>
    <row r="27" spans="1:25">
      <c r="A27" t="s">
        <v>128</v>
      </c>
      <c r="B27" t="s">
        <v>128</v>
      </c>
      <c r="C27" t="s">
        <v>54</v>
      </c>
      <c r="D27" t="s">
        <v>55</v>
      </c>
      <c r="E27" s="3">
        <v>45895</v>
      </c>
      <c r="F27">
        <v>-137.33000000000001</v>
      </c>
      <c r="G27" t="s">
        <v>56</v>
      </c>
      <c r="H27" t="s">
        <v>57</v>
      </c>
      <c r="I27" t="s">
        <v>97</v>
      </c>
      <c r="J27" t="s">
        <v>85</v>
      </c>
      <c r="K27" t="s">
        <v>107</v>
      </c>
      <c r="L27" t="s">
        <v>60</v>
      </c>
      <c r="M27" t="s">
        <v>61</v>
      </c>
      <c r="N27" s="3">
        <v>45895</v>
      </c>
      <c r="O27">
        <v>-137.33000000000001</v>
      </c>
      <c r="P27" t="s">
        <v>56</v>
      </c>
      <c r="Q27" t="s">
        <v>57</v>
      </c>
      <c r="R27" t="s">
        <v>97</v>
      </c>
      <c r="S27" t="s">
        <v>85</v>
      </c>
      <c r="T27" t="s">
        <v>107</v>
      </c>
      <c r="U27" t="s">
        <v>54</v>
      </c>
      <c r="V27" t="b">
        <v>1</v>
      </c>
      <c r="W27">
        <v>0</v>
      </c>
      <c r="X27">
        <v>0</v>
      </c>
      <c r="Y27" t="s">
        <v>14</v>
      </c>
    </row>
    <row r="28" spans="1:25">
      <c r="A28" t="s">
        <v>129</v>
      </c>
      <c r="B28" t="s">
        <v>129</v>
      </c>
      <c r="C28" t="s">
        <v>54</v>
      </c>
      <c r="D28" t="s">
        <v>55</v>
      </c>
      <c r="E28" s="3">
        <v>45896</v>
      </c>
      <c r="F28">
        <v>-398.69</v>
      </c>
      <c r="G28" t="s">
        <v>56</v>
      </c>
      <c r="H28" t="s">
        <v>65</v>
      </c>
      <c r="I28" t="s">
        <v>77</v>
      </c>
      <c r="J28" t="s">
        <v>81</v>
      </c>
      <c r="K28" t="s">
        <v>105</v>
      </c>
      <c r="L28" t="s">
        <v>60</v>
      </c>
      <c r="M28" t="s">
        <v>61</v>
      </c>
      <c r="N28" s="3">
        <v>45896</v>
      </c>
      <c r="O28">
        <v>-398.69</v>
      </c>
      <c r="P28" t="s">
        <v>56</v>
      </c>
      <c r="Q28" t="s">
        <v>65</v>
      </c>
      <c r="R28" t="s">
        <v>77</v>
      </c>
      <c r="S28" t="s">
        <v>81</v>
      </c>
      <c r="T28" t="s">
        <v>105</v>
      </c>
      <c r="U28" t="s">
        <v>54</v>
      </c>
      <c r="V28" t="b">
        <v>1</v>
      </c>
      <c r="W28">
        <v>0</v>
      </c>
      <c r="X28">
        <v>0</v>
      </c>
      <c r="Y28" t="s">
        <v>14</v>
      </c>
    </row>
    <row r="29" spans="1:25">
      <c r="A29" t="s">
        <v>130</v>
      </c>
      <c r="B29" t="s">
        <v>130</v>
      </c>
      <c r="C29" t="s">
        <v>87</v>
      </c>
      <c r="D29" t="s">
        <v>88</v>
      </c>
      <c r="E29" s="3">
        <v>45879</v>
      </c>
      <c r="F29">
        <v>-72.08</v>
      </c>
      <c r="G29" t="s">
        <v>56</v>
      </c>
      <c r="H29" t="s">
        <v>73</v>
      </c>
      <c r="I29" t="s">
        <v>58</v>
      </c>
      <c r="J29" t="s">
        <v>66</v>
      </c>
      <c r="L29" t="s">
        <v>100</v>
      </c>
      <c r="M29" t="s">
        <v>101</v>
      </c>
      <c r="N29" s="3">
        <v>45879</v>
      </c>
      <c r="O29">
        <v>-72.08</v>
      </c>
      <c r="P29" t="s">
        <v>56</v>
      </c>
      <c r="Q29" t="s">
        <v>73</v>
      </c>
      <c r="R29" t="s">
        <v>58</v>
      </c>
      <c r="S29" t="s">
        <v>66</v>
      </c>
      <c r="U29" t="s">
        <v>87</v>
      </c>
      <c r="V29" t="b">
        <v>1</v>
      </c>
      <c r="W29">
        <v>0</v>
      </c>
      <c r="X29">
        <v>0</v>
      </c>
      <c r="Y29" t="s">
        <v>14</v>
      </c>
    </row>
    <row r="30" spans="1:25">
      <c r="A30" t="s">
        <v>131</v>
      </c>
      <c r="B30" t="s">
        <v>131</v>
      </c>
      <c r="C30" t="s">
        <v>92</v>
      </c>
      <c r="D30" t="s">
        <v>93</v>
      </c>
      <c r="E30" s="3">
        <v>45886</v>
      </c>
      <c r="F30">
        <v>762.35</v>
      </c>
      <c r="G30" t="s">
        <v>56</v>
      </c>
      <c r="H30" t="s">
        <v>80</v>
      </c>
      <c r="I30" t="s">
        <v>58</v>
      </c>
      <c r="J30" t="s">
        <v>81</v>
      </c>
      <c r="K30" t="s">
        <v>107</v>
      </c>
      <c r="L30" t="s">
        <v>94</v>
      </c>
      <c r="M30" t="s">
        <v>95</v>
      </c>
      <c r="N30" s="3">
        <v>45886</v>
      </c>
      <c r="O30">
        <v>762.35</v>
      </c>
      <c r="P30" t="s">
        <v>56</v>
      </c>
      <c r="Q30" t="s">
        <v>80</v>
      </c>
      <c r="R30" t="s">
        <v>58</v>
      </c>
      <c r="S30" t="s">
        <v>81</v>
      </c>
      <c r="T30" t="s">
        <v>107</v>
      </c>
      <c r="U30" t="s">
        <v>92</v>
      </c>
      <c r="V30" t="b">
        <v>1</v>
      </c>
      <c r="W30">
        <v>0</v>
      </c>
      <c r="X30">
        <v>0</v>
      </c>
      <c r="Y30" t="s">
        <v>14</v>
      </c>
    </row>
    <row r="31" spans="1:25">
      <c r="A31" t="s">
        <v>132</v>
      </c>
      <c r="B31" t="s">
        <v>132</v>
      </c>
      <c r="C31" t="s">
        <v>54</v>
      </c>
      <c r="D31" t="s">
        <v>55</v>
      </c>
      <c r="E31" s="3">
        <v>45904</v>
      </c>
      <c r="F31">
        <v>-395.88</v>
      </c>
      <c r="G31" t="s">
        <v>56</v>
      </c>
      <c r="H31" t="s">
        <v>65</v>
      </c>
      <c r="I31" t="s">
        <v>58</v>
      </c>
      <c r="J31" t="s">
        <v>81</v>
      </c>
      <c r="K31" t="s">
        <v>59</v>
      </c>
      <c r="L31" t="s">
        <v>60</v>
      </c>
      <c r="M31" t="s">
        <v>61</v>
      </c>
      <c r="N31" s="3">
        <v>45902</v>
      </c>
      <c r="O31">
        <v>-393.87</v>
      </c>
      <c r="P31" t="s">
        <v>56</v>
      </c>
      <c r="Q31" t="s">
        <v>65</v>
      </c>
      <c r="R31" t="s">
        <v>58</v>
      </c>
      <c r="S31" t="s">
        <v>81</v>
      </c>
      <c r="T31" t="s">
        <v>59</v>
      </c>
      <c r="U31" t="s">
        <v>54</v>
      </c>
      <c r="V31" t="b">
        <v>1</v>
      </c>
      <c r="W31">
        <v>-2.0099999999999998</v>
      </c>
      <c r="X31">
        <v>2</v>
      </c>
      <c r="Y31" t="s">
        <v>17</v>
      </c>
    </row>
    <row r="32" spans="1:25">
      <c r="A32" t="s">
        <v>133</v>
      </c>
      <c r="B32" t="s">
        <v>133</v>
      </c>
      <c r="C32" t="s">
        <v>54</v>
      </c>
      <c r="D32" t="s">
        <v>55</v>
      </c>
      <c r="E32" s="3">
        <v>45866</v>
      </c>
      <c r="F32">
        <v>314.36</v>
      </c>
      <c r="G32" t="s">
        <v>56</v>
      </c>
      <c r="H32" t="s">
        <v>57</v>
      </c>
      <c r="I32" t="s">
        <v>103</v>
      </c>
      <c r="J32" t="s">
        <v>109</v>
      </c>
      <c r="L32" t="s">
        <v>60</v>
      </c>
      <c r="M32" t="s">
        <v>61</v>
      </c>
      <c r="N32" s="3">
        <v>45866</v>
      </c>
      <c r="O32">
        <v>314.36</v>
      </c>
      <c r="P32" t="s">
        <v>56</v>
      </c>
      <c r="Q32" t="s">
        <v>57</v>
      </c>
      <c r="R32" t="s">
        <v>103</v>
      </c>
      <c r="S32" t="s">
        <v>109</v>
      </c>
      <c r="U32" t="s">
        <v>54</v>
      </c>
      <c r="V32" t="b">
        <v>1</v>
      </c>
      <c r="W32">
        <v>0</v>
      </c>
      <c r="X32">
        <v>0</v>
      </c>
      <c r="Y32" t="s">
        <v>14</v>
      </c>
    </row>
    <row r="33" spans="1:25">
      <c r="A33" t="s">
        <v>134</v>
      </c>
      <c r="B33" t="s">
        <v>134</v>
      </c>
      <c r="C33" t="s">
        <v>63</v>
      </c>
      <c r="D33" t="s">
        <v>64</v>
      </c>
      <c r="E33" s="3">
        <v>45901</v>
      </c>
      <c r="F33">
        <v>768.12</v>
      </c>
      <c r="G33" t="s">
        <v>56</v>
      </c>
      <c r="H33" t="s">
        <v>80</v>
      </c>
      <c r="I33" t="s">
        <v>97</v>
      </c>
      <c r="J33" t="s">
        <v>99</v>
      </c>
      <c r="L33" t="s">
        <v>68</v>
      </c>
      <c r="M33" t="s">
        <v>69</v>
      </c>
      <c r="N33" s="3">
        <v>45901</v>
      </c>
      <c r="O33">
        <v>768.12</v>
      </c>
      <c r="P33" t="s">
        <v>56</v>
      </c>
      <c r="Q33" t="s">
        <v>80</v>
      </c>
      <c r="R33" t="s">
        <v>97</v>
      </c>
      <c r="S33" t="s">
        <v>99</v>
      </c>
      <c r="U33" t="s">
        <v>63</v>
      </c>
      <c r="V33" t="b">
        <v>1</v>
      </c>
      <c r="W33">
        <v>0</v>
      </c>
      <c r="X33">
        <v>0</v>
      </c>
      <c r="Y33" t="s">
        <v>14</v>
      </c>
    </row>
    <row r="34" spans="1:25">
      <c r="A34" t="s">
        <v>135</v>
      </c>
      <c r="B34" t="s">
        <v>135</v>
      </c>
      <c r="C34" t="s">
        <v>87</v>
      </c>
      <c r="D34" t="s">
        <v>88</v>
      </c>
      <c r="E34" s="3">
        <v>45891</v>
      </c>
      <c r="F34">
        <v>87.23</v>
      </c>
      <c r="G34" t="s">
        <v>56</v>
      </c>
      <c r="H34" t="s">
        <v>80</v>
      </c>
      <c r="I34" t="s">
        <v>97</v>
      </c>
      <c r="J34" t="s">
        <v>85</v>
      </c>
      <c r="L34" t="s">
        <v>89</v>
      </c>
      <c r="M34" t="s">
        <v>90</v>
      </c>
      <c r="N34" s="3">
        <v>45891</v>
      </c>
      <c r="O34">
        <v>86.84</v>
      </c>
      <c r="P34" t="s">
        <v>56</v>
      </c>
      <c r="Q34" t="s">
        <v>80</v>
      </c>
      <c r="R34" t="s">
        <v>97</v>
      </c>
      <c r="S34" t="s">
        <v>85</v>
      </c>
      <c r="U34" t="s">
        <v>87</v>
      </c>
      <c r="V34" t="b">
        <v>1</v>
      </c>
      <c r="W34">
        <v>0.39</v>
      </c>
      <c r="X34">
        <v>0</v>
      </c>
      <c r="Y34" t="s">
        <v>15</v>
      </c>
    </row>
    <row r="35" spans="1:25">
      <c r="A35" t="s">
        <v>136</v>
      </c>
      <c r="B35" t="s">
        <v>136</v>
      </c>
      <c r="C35" t="s">
        <v>87</v>
      </c>
      <c r="D35" t="s">
        <v>88</v>
      </c>
      <c r="E35" s="3">
        <v>45908</v>
      </c>
      <c r="F35">
        <v>-633.86</v>
      </c>
      <c r="G35" t="s">
        <v>56</v>
      </c>
      <c r="H35" t="s">
        <v>73</v>
      </c>
      <c r="I35" t="s">
        <v>97</v>
      </c>
      <c r="J35" t="s">
        <v>81</v>
      </c>
      <c r="K35" t="s">
        <v>59</v>
      </c>
      <c r="L35" t="s">
        <v>89</v>
      </c>
      <c r="M35" t="s">
        <v>90</v>
      </c>
      <c r="N35" s="3">
        <v>45908</v>
      </c>
      <c r="O35">
        <v>-633.86</v>
      </c>
      <c r="P35" t="s">
        <v>56</v>
      </c>
      <c r="Q35" t="s">
        <v>73</v>
      </c>
      <c r="R35" t="s">
        <v>97</v>
      </c>
      <c r="S35" t="s">
        <v>81</v>
      </c>
      <c r="T35" t="s">
        <v>59</v>
      </c>
      <c r="U35" t="s">
        <v>87</v>
      </c>
      <c r="V35" t="b">
        <v>1</v>
      </c>
      <c r="W35">
        <v>0</v>
      </c>
      <c r="X35">
        <v>0</v>
      </c>
      <c r="Y35" t="s">
        <v>14</v>
      </c>
    </row>
    <row r="36" spans="1:25">
      <c r="A36" t="s">
        <v>137</v>
      </c>
      <c r="B36" t="s">
        <v>137</v>
      </c>
      <c r="C36" t="s">
        <v>92</v>
      </c>
      <c r="D36" t="s">
        <v>93</v>
      </c>
      <c r="E36" s="3">
        <v>45879</v>
      </c>
      <c r="F36">
        <v>-16.100000000000001</v>
      </c>
      <c r="G36" t="s">
        <v>56</v>
      </c>
      <c r="H36" t="s">
        <v>57</v>
      </c>
      <c r="I36" t="s">
        <v>103</v>
      </c>
      <c r="J36" t="s">
        <v>117</v>
      </c>
      <c r="K36" t="s">
        <v>138</v>
      </c>
      <c r="L36" t="s">
        <v>94</v>
      </c>
      <c r="M36" t="s">
        <v>95</v>
      </c>
      <c r="N36" s="3">
        <v>45881</v>
      </c>
      <c r="O36">
        <v>-16.82</v>
      </c>
      <c r="P36" t="s">
        <v>56</v>
      </c>
      <c r="Q36" t="s">
        <v>57</v>
      </c>
      <c r="R36" t="s">
        <v>103</v>
      </c>
      <c r="S36" t="s">
        <v>117</v>
      </c>
      <c r="T36" t="s">
        <v>138</v>
      </c>
      <c r="U36" t="s">
        <v>92</v>
      </c>
      <c r="V36" t="b">
        <v>1</v>
      </c>
      <c r="W36">
        <v>0.72</v>
      </c>
      <c r="X36">
        <v>-2</v>
      </c>
      <c r="Y36" t="s">
        <v>15</v>
      </c>
    </row>
    <row r="37" spans="1:25">
      <c r="A37" t="s">
        <v>139</v>
      </c>
      <c r="B37" t="s">
        <v>139</v>
      </c>
      <c r="C37" t="s">
        <v>87</v>
      </c>
      <c r="D37" t="s">
        <v>88</v>
      </c>
      <c r="E37" s="3">
        <v>45901</v>
      </c>
      <c r="F37">
        <v>334.46</v>
      </c>
      <c r="G37" t="s">
        <v>56</v>
      </c>
      <c r="H37" t="s">
        <v>80</v>
      </c>
      <c r="I37" t="s">
        <v>77</v>
      </c>
      <c r="K37" t="s">
        <v>105</v>
      </c>
      <c r="L37" t="s">
        <v>89</v>
      </c>
      <c r="M37" t="s">
        <v>90</v>
      </c>
      <c r="N37" s="3">
        <v>45901</v>
      </c>
      <c r="O37">
        <v>334.46</v>
      </c>
      <c r="P37" t="s">
        <v>56</v>
      </c>
      <c r="Q37" t="s">
        <v>80</v>
      </c>
      <c r="R37" t="s">
        <v>77</v>
      </c>
      <c r="T37" t="s">
        <v>105</v>
      </c>
      <c r="U37" t="s">
        <v>87</v>
      </c>
      <c r="V37" t="b">
        <v>1</v>
      </c>
      <c r="W37">
        <v>0</v>
      </c>
      <c r="X37">
        <v>0</v>
      </c>
      <c r="Y37" t="s">
        <v>14</v>
      </c>
    </row>
    <row r="38" spans="1:25">
      <c r="A38" t="s">
        <v>140</v>
      </c>
      <c r="B38" t="s">
        <v>140</v>
      </c>
      <c r="C38" t="s">
        <v>54</v>
      </c>
      <c r="D38" t="s">
        <v>55</v>
      </c>
      <c r="E38" s="3">
        <v>45880</v>
      </c>
      <c r="F38">
        <v>-198.95</v>
      </c>
      <c r="G38" t="s">
        <v>56</v>
      </c>
      <c r="H38" t="s">
        <v>57</v>
      </c>
      <c r="I38" t="s">
        <v>97</v>
      </c>
      <c r="J38" t="s">
        <v>117</v>
      </c>
      <c r="K38" t="s">
        <v>78</v>
      </c>
      <c r="L38" t="s">
        <v>60</v>
      </c>
      <c r="M38" t="s">
        <v>61</v>
      </c>
      <c r="N38" s="3">
        <v>45880</v>
      </c>
      <c r="O38">
        <v>-198.95</v>
      </c>
      <c r="P38" t="s">
        <v>56</v>
      </c>
      <c r="Q38" t="s">
        <v>57</v>
      </c>
      <c r="R38" t="s">
        <v>97</v>
      </c>
      <c r="S38" t="s">
        <v>117</v>
      </c>
      <c r="T38" t="s">
        <v>78</v>
      </c>
      <c r="U38" t="s">
        <v>54</v>
      </c>
      <c r="V38" t="b">
        <v>1</v>
      </c>
      <c r="W38">
        <v>0</v>
      </c>
      <c r="X38">
        <v>0</v>
      </c>
      <c r="Y38" t="s">
        <v>14</v>
      </c>
    </row>
    <row r="39" spans="1:25">
      <c r="A39" t="s">
        <v>141</v>
      </c>
      <c r="B39" t="s">
        <v>141</v>
      </c>
      <c r="C39" t="s">
        <v>54</v>
      </c>
      <c r="D39" t="s">
        <v>55</v>
      </c>
      <c r="E39" s="3">
        <v>45870</v>
      </c>
      <c r="F39">
        <v>865.49</v>
      </c>
      <c r="G39" t="s">
        <v>56</v>
      </c>
      <c r="H39" t="s">
        <v>57</v>
      </c>
      <c r="I39" t="s">
        <v>77</v>
      </c>
      <c r="J39" t="s">
        <v>109</v>
      </c>
      <c r="K39" t="s">
        <v>138</v>
      </c>
      <c r="L39" t="s">
        <v>60</v>
      </c>
      <c r="M39" t="s">
        <v>61</v>
      </c>
      <c r="N39" s="3">
        <v>45870</v>
      </c>
      <c r="O39">
        <v>865.49</v>
      </c>
      <c r="P39" t="s">
        <v>56</v>
      </c>
      <c r="Q39" t="s">
        <v>57</v>
      </c>
      <c r="R39" t="s">
        <v>77</v>
      </c>
      <c r="S39" t="s">
        <v>109</v>
      </c>
      <c r="T39" t="s">
        <v>138</v>
      </c>
      <c r="U39" t="s">
        <v>54</v>
      </c>
      <c r="V39" t="b">
        <v>1</v>
      </c>
      <c r="W39">
        <v>0</v>
      </c>
      <c r="X39">
        <v>0</v>
      </c>
      <c r="Y39" t="s">
        <v>14</v>
      </c>
    </row>
    <row r="40" spans="1:25">
      <c r="A40" t="s">
        <v>142</v>
      </c>
      <c r="B40" t="s">
        <v>142</v>
      </c>
      <c r="C40" t="s">
        <v>63</v>
      </c>
      <c r="D40" t="s">
        <v>64</v>
      </c>
      <c r="E40" s="3">
        <v>45910</v>
      </c>
      <c r="F40">
        <v>941.54</v>
      </c>
      <c r="G40" t="s">
        <v>56</v>
      </c>
      <c r="H40" t="s">
        <v>73</v>
      </c>
      <c r="I40" t="s">
        <v>97</v>
      </c>
      <c r="J40" t="s">
        <v>117</v>
      </c>
      <c r="K40" t="s">
        <v>78</v>
      </c>
      <c r="L40" t="s">
        <v>68</v>
      </c>
      <c r="M40" t="s">
        <v>69</v>
      </c>
      <c r="N40" s="3">
        <v>45910</v>
      </c>
      <c r="O40">
        <v>942.35</v>
      </c>
      <c r="P40" t="s">
        <v>56</v>
      </c>
      <c r="Q40" t="s">
        <v>73</v>
      </c>
      <c r="R40" t="s">
        <v>97</v>
      </c>
      <c r="S40" t="s">
        <v>117</v>
      </c>
      <c r="T40" t="s">
        <v>78</v>
      </c>
      <c r="U40" t="s">
        <v>63</v>
      </c>
      <c r="V40" t="b">
        <v>1</v>
      </c>
      <c r="W40">
        <v>-0.81</v>
      </c>
      <c r="X40">
        <v>0</v>
      </c>
      <c r="Y40" t="s">
        <v>15</v>
      </c>
    </row>
    <row r="41" spans="1:25">
      <c r="A41" t="s">
        <v>143</v>
      </c>
      <c r="B41" t="s">
        <v>143</v>
      </c>
      <c r="C41" t="s">
        <v>71</v>
      </c>
      <c r="D41" t="s">
        <v>72</v>
      </c>
      <c r="E41" s="3">
        <v>45907</v>
      </c>
      <c r="F41">
        <v>417.65</v>
      </c>
      <c r="G41" t="s">
        <v>56</v>
      </c>
      <c r="H41" t="s">
        <v>57</v>
      </c>
      <c r="I41" t="s">
        <v>77</v>
      </c>
      <c r="J41" t="s">
        <v>117</v>
      </c>
      <c r="K41" t="s">
        <v>67</v>
      </c>
      <c r="L41" t="s">
        <v>74</v>
      </c>
      <c r="M41" t="s">
        <v>75</v>
      </c>
      <c r="N41" s="3">
        <v>45907</v>
      </c>
      <c r="O41">
        <v>417.84</v>
      </c>
      <c r="P41" t="s">
        <v>56</v>
      </c>
      <c r="Q41" t="s">
        <v>57</v>
      </c>
      <c r="R41" t="s">
        <v>77</v>
      </c>
      <c r="S41" t="s">
        <v>117</v>
      </c>
      <c r="T41" t="s">
        <v>67</v>
      </c>
      <c r="U41" t="s">
        <v>71</v>
      </c>
      <c r="V41" t="b">
        <v>1</v>
      </c>
      <c r="W41">
        <v>-0.19</v>
      </c>
      <c r="X41">
        <v>0</v>
      </c>
      <c r="Y41" t="s">
        <v>15</v>
      </c>
    </row>
    <row r="42" spans="1:25">
      <c r="A42" t="s">
        <v>144</v>
      </c>
      <c r="B42" t="s">
        <v>144</v>
      </c>
      <c r="C42" t="s">
        <v>63</v>
      </c>
      <c r="D42" t="s">
        <v>64</v>
      </c>
      <c r="E42" s="3">
        <v>45903</v>
      </c>
      <c r="F42">
        <v>-710.18</v>
      </c>
      <c r="G42" t="s">
        <v>56</v>
      </c>
      <c r="H42" t="s">
        <v>65</v>
      </c>
      <c r="I42" t="s">
        <v>58</v>
      </c>
      <c r="J42" t="s">
        <v>81</v>
      </c>
      <c r="K42" t="s">
        <v>59</v>
      </c>
      <c r="L42" t="s">
        <v>68</v>
      </c>
      <c r="M42" t="s">
        <v>69</v>
      </c>
      <c r="N42" s="3">
        <v>45903</v>
      </c>
      <c r="O42">
        <v>-710.18</v>
      </c>
      <c r="P42" t="s">
        <v>56</v>
      </c>
      <c r="Q42" t="s">
        <v>65</v>
      </c>
      <c r="R42" t="s">
        <v>58</v>
      </c>
      <c r="S42" t="s">
        <v>81</v>
      </c>
      <c r="T42" t="s">
        <v>59</v>
      </c>
      <c r="U42" t="s">
        <v>63</v>
      </c>
      <c r="V42" t="b">
        <v>1</v>
      </c>
      <c r="W42">
        <v>0</v>
      </c>
      <c r="X42">
        <v>0</v>
      </c>
      <c r="Y42" t="s">
        <v>14</v>
      </c>
    </row>
    <row r="43" spans="1:25">
      <c r="A43" t="s">
        <v>145</v>
      </c>
      <c r="B43" t="s">
        <v>145</v>
      </c>
      <c r="C43" t="s">
        <v>92</v>
      </c>
      <c r="D43" t="s">
        <v>93</v>
      </c>
      <c r="E43" s="3">
        <v>45908</v>
      </c>
      <c r="F43">
        <v>455</v>
      </c>
      <c r="G43" t="s">
        <v>56</v>
      </c>
      <c r="H43" t="s">
        <v>73</v>
      </c>
      <c r="I43" t="s">
        <v>103</v>
      </c>
      <c r="J43" t="s">
        <v>81</v>
      </c>
      <c r="K43" t="s">
        <v>59</v>
      </c>
      <c r="L43" t="s">
        <v>94</v>
      </c>
      <c r="M43" t="s">
        <v>95</v>
      </c>
      <c r="N43" s="3">
        <v>45908</v>
      </c>
      <c r="O43">
        <v>455</v>
      </c>
      <c r="P43" t="s">
        <v>56</v>
      </c>
      <c r="Q43" t="s">
        <v>73</v>
      </c>
      <c r="R43" t="s">
        <v>103</v>
      </c>
      <c r="S43" t="s">
        <v>81</v>
      </c>
      <c r="T43" t="s">
        <v>59</v>
      </c>
      <c r="U43" t="s">
        <v>92</v>
      </c>
      <c r="V43" t="b">
        <v>1</v>
      </c>
      <c r="W43">
        <v>0</v>
      </c>
      <c r="X43">
        <v>0</v>
      </c>
      <c r="Y43" t="s">
        <v>14</v>
      </c>
    </row>
    <row r="44" spans="1:25">
      <c r="A44" t="s">
        <v>146</v>
      </c>
      <c r="B44" t="s">
        <v>146</v>
      </c>
      <c r="C44" t="s">
        <v>92</v>
      </c>
      <c r="D44" t="s">
        <v>93</v>
      </c>
      <c r="E44" s="3">
        <v>45865</v>
      </c>
      <c r="F44">
        <v>-642.02</v>
      </c>
      <c r="G44" t="s">
        <v>56</v>
      </c>
      <c r="H44" t="s">
        <v>57</v>
      </c>
      <c r="I44" t="s">
        <v>97</v>
      </c>
      <c r="J44" t="s">
        <v>117</v>
      </c>
      <c r="L44" t="s">
        <v>125</v>
      </c>
      <c r="M44" t="s">
        <v>126</v>
      </c>
      <c r="N44" s="3">
        <v>45865</v>
      </c>
      <c r="O44">
        <v>-642.02</v>
      </c>
      <c r="P44" t="s">
        <v>56</v>
      </c>
      <c r="Q44" t="s">
        <v>57</v>
      </c>
      <c r="R44" t="s">
        <v>97</v>
      </c>
      <c r="S44" t="s">
        <v>117</v>
      </c>
      <c r="U44" t="s">
        <v>92</v>
      </c>
      <c r="V44" t="b">
        <v>1</v>
      </c>
      <c r="W44">
        <v>0</v>
      </c>
      <c r="X44">
        <v>0</v>
      </c>
      <c r="Y44" t="s">
        <v>14</v>
      </c>
    </row>
    <row r="45" spans="1:25">
      <c r="A45" t="s">
        <v>147</v>
      </c>
      <c r="B45" t="s">
        <v>147</v>
      </c>
      <c r="C45" t="s">
        <v>87</v>
      </c>
      <c r="D45" t="s">
        <v>88</v>
      </c>
      <c r="E45" s="3">
        <v>45909</v>
      </c>
      <c r="F45">
        <v>311.79000000000002</v>
      </c>
      <c r="G45" t="s">
        <v>56</v>
      </c>
      <c r="H45" t="s">
        <v>57</v>
      </c>
      <c r="I45" t="s">
        <v>103</v>
      </c>
      <c r="J45" t="s">
        <v>81</v>
      </c>
      <c r="K45" t="s">
        <v>138</v>
      </c>
      <c r="L45" t="s">
        <v>89</v>
      </c>
      <c r="M45" t="s">
        <v>90</v>
      </c>
      <c r="N45" s="3">
        <v>45910</v>
      </c>
      <c r="O45">
        <v>311.27</v>
      </c>
      <c r="P45" t="s">
        <v>56</v>
      </c>
      <c r="Q45" t="s">
        <v>57</v>
      </c>
      <c r="R45" t="s">
        <v>103</v>
      </c>
      <c r="S45" t="s">
        <v>81</v>
      </c>
      <c r="T45" t="s">
        <v>138</v>
      </c>
      <c r="U45" t="s">
        <v>87</v>
      </c>
      <c r="V45" t="b">
        <v>1</v>
      </c>
      <c r="W45">
        <v>0.52</v>
      </c>
      <c r="X45">
        <v>-1</v>
      </c>
      <c r="Y45" t="s">
        <v>15</v>
      </c>
    </row>
    <row r="46" spans="1:25">
      <c r="A46" t="s">
        <v>148</v>
      </c>
      <c r="B46" t="s">
        <v>148</v>
      </c>
      <c r="C46" t="s">
        <v>92</v>
      </c>
      <c r="D46" t="s">
        <v>93</v>
      </c>
      <c r="E46" s="3">
        <v>45872</v>
      </c>
      <c r="F46">
        <v>72.92</v>
      </c>
      <c r="G46" t="s">
        <v>56</v>
      </c>
      <c r="H46" t="s">
        <v>80</v>
      </c>
      <c r="I46" t="s">
        <v>103</v>
      </c>
      <c r="J46" t="s">
        <v>85</v>
      </c>
      <c r="K46" t="s">
        <v>67</v>
      </c>
      <c r="L46" t="s">
        <v>125</v>
      </c>
      <c r="M46" t="s">
        <v>126</v>
      </c>
      <c r="N46" s="3">
        <v>45872</v>
      </c>
      <c r="O46">
        <v>72.92</v>
      </c>
      <c r="P46" t="s">
        <v>56</v>
      </c>
      <c r="Q46" t="s">
        <v>80</v>
      </c>
      <c r="R46" t="s">
        <v>103</v>
      </c>
      <c r="S46" t="s">
        <v>85</v>
      </c>
      <c r="T46" t="s">
        <v>67</v>
      </c>
      <c r="U46" t="s">
        <v>92</v>
      </c>
      <c r="V46" t="b">
        <v>1</v>
      </c>
      <c r="W46">
        <v>0</v>
      </c>
      <c r="X46">
        <v>0</v>
      </c>
      <c r="Y46" t="s">
        <v>14</v>
      </c>
    </row>
    <row r="47" spans="1:25">
      <c r="A47" t="s">
        <v>149</v>
      </c>
      <c r="B47" t="s">
        <v>149</v>
      </c>
      <c r="C47" t="s">
        <v>150</v>
      </c>
      <c r="D47" t="s">
        <v>151</v>
      </c>
      <c r="E47" s="3">
        <v>45860</v>
      </c>
      <c r="F47">
        <v>49.23</v>
      </c>
      <c r="G47" t="s">
        <v>56</v>
      </c>
      <c r="H47" t="s">
        <v>80</v>
      </c>
      <c r="I47" t="s">
        <v>77</v>
      </c>
      <c r="J47" t="s">
        <v>109</v>
      </c>
      <c r="K47" t="s">
        <v>59</v>
      </c>
      <c r="L47" t="s">
        <v>152</v>
      </c>
      <c r="M47" t="s">
        <v>153</v>
      </c>
      <c r="N47" s="3">
        <v>45860</v>
      </c>
      <c r="O47">
        <v>49.23</v>
      </c>
      <c r="P47" t="s">
        <v>56</v>
      </c>
      <c r="Q47" t="s">
        <v>80</v>
      </c>
      <c r="R47" t="s">
        <v>77</v>
      </c>
      <c r="S47" t="s">
        <v>109</v>
      </c>
      <c r="T47" t="s">
        <v>59</v>
      </c>
      <c r="U47" t="s">
        <v>150</v>
      </c>
      <c r="V47" t="b">
        <v>1</v>
      </c>
      <c r="W47">
        <v>0</v>
      </c>
      <c r="X47">
        <v>0</v>
      </c>
      <c r="Y47" t="s">
        <v>14</v>
      </c>
    </row>
    <row r="48" spans="1:25">
      <c r="A48" t="s">
        <v>154</v>
      </c>
      <c r="B48" t="s">
        <v>154</v>
      </c>
      <c r="C48" t="s">
        <v>92</v>
      </c>
      <c r="D48" t="s">
        <v>93</v>
      </c>
      <c r="E48" s="3">
        <v>45883</v>
      </c>
      <c r="F48">
        <v>595.78</v>
      </c>
      <c r="G48" t="s">
        <v>56</v>
      </c>
      <c r="H48" t="s">
        <v>65</v>
      </c>
      <c r="I48" t="s">
        <v>97</v>
      </c>
      <c r="J48" t="s">
        <v>85</v>
      </c>
      <c r="K48" t="s">
        <v>59</v>
      </c>
      <c r="L48" t="s">
        <v>125</v>
      </c>
      <c r="M48" t="s">
        <v>126</v>
      </c>
      <c r="N48" s="3">
        <v>45883</v>
      </c>
      <c r="O48">
        <v>595.78</v>
      </c>
      <c r="P48" t="s">
        <v>56</v>
      </c>
      <c r="Q48" t="s">
        <v>65</v>
      </c>
      <c r="R48" t="s">
        <v>97</v>
      </c>
      <c r="S48" t="s">
        <v>85</v>
      </c>
      <c r="T48" t="s">
        <v>59</v>
      </c>
      <c r="U48" t="s">
        <v>92</v>
      </c>
      <c r="V48" t="b">
        <v>1</v>
      </c>
      <c r="W48">
        <v>0</v>
      </c>
      <c r="X48">
        <v>0</v>
      </c>
      <c r="Y48" t="s">
        <v>14</v>
      </c>
    </row>
    <row r="49" spans="1:25">
      <c r="A49" t="s">
        <v>155</v>
      </c>
      <c r="B49" t="s">
        <v>155</v>
      </c>
      <c r="C49" t="s">
        <v>63</v>
      </c>
      <c r="D49" t="s">
        <v>64</v>
      </c>
      <c r="E49" s="3">
        <v>45912</v>
      </c>
      <c r="F49">
        <v>1061.9000000000001</v>
      </c>
      <c r="G49" t="s">
        <v>56</v>
      </c>
      <c r="H49" t="s">
        <v>65</v>
      </c>
      <c r="I49" t="s">
        <v>58</v>
      </c>
      <c r="L49" t="s">
        <v>82</v>
      </c>
      <c r="M49" t="s">
        <v>83</v>
      </c>
      <c r="N49" s="3">
        <v>45912</v>
      </c>
      <c r="O49">
        <v>1061.9000000000001</v>
      </c>
      <c r="P49" t="s">
        <v>56</v>
      </c>
      <c r="Q49" t="s">
        <v>65</v>
      </c>
      <c r="R49" t="s">
        <v>58</v>
      </c>
      <c r="U49" t="s">
        <v>63</v>
      </c>
      <c r="V49" t="b">
        <v>1</v>
      </c>
      <c r="W49">
        <v>0</v>
      </c>
      <c r="X49">
        <v>0</v>
      </c>
      <c r="Y49" t="s">
        <v>14</v>
      </c>
    </row>
    <row r="50" spans="1:25">
      <c r="A50" t="s">
        <v>156</v>
      </c>
      <c r="B50" t="s">
        <v>156</v>
      </c>
      <c r="C50" t="s">
        <v>150</v>
      </c>
      <c r="D50" t="s">
        <v>151</v>
      </c>
      <c r="E50" s="3">
        <v>45868</v>
      </c>
      <c r="F50">
        <v>-567.35</v>
      </c>
      <c r="G50" t="s">
        <v>56</v>
      </c>
      <c r="H50" t="s">
        <v>57</v>
      </c>
      <c r="I50" t="s">
        <v>58</v>
      </c>
      <c r="J50" t="s">
        <v>99</v>
      </c>
      <c r="K50" t="s">
        <v>105</v>
      </c>
      <c r="L50" t="s">
        <v>152</v>
      </c>
      <c r="M50" t="s">
        <v>153</v>
      </c>
      <c r="N50" s="3">
        <v>45868</v>
      </c>
      <c r="O50">
        <v>-567.35</v>
      </c>
      <c r="P50" t="s">
        <v>56</v>
      </c>
      <c r="Q50" t="s">
        <v>57</v>
      </c>
      <c r="R50" t="s">
        <v>58</v>
      </c>
      <c r="S50" t="s">
        <v>99</v>
      </c>
      <c r="T50" t="s">
        <v>105</v>
      </c>
      <c r="U50" t="s">
        <v>150</v>
      </c>
      <c r="V50" t="b">
        <v>1</v>
      </c>
      <c r="W50">
        <v>0</v>
      </c>
      <c r="X50">
        <v>0</v>
      </c>
      <c r="Y50" t="s">
        <v>14</v>
      </c>
    </row>
    <row r="51" spans="1:25">
      <c r="A51" t="s">
        <v>157</v>
      </c>
      <c r="B51" t="s">
        <v>157</v>
      </c>
      <c r="C51" t="s">
        <v>92</v>
      </c>
      <c r="D51" t="s">
        <v>93</v>
      </c>
      <c r="E51" s="3">
        <v>45890</v>
      </c>
      <c r="F51">
        <v>368.85</v>
      </c>
      <c r="G51" t="s">
        <v>56</v>
      </c>
      <c r="H51" t="s">
        <v>57</v>
      </c>
      <c r="I51" t="s">
        <v>58</v>
      </c>
      <c r="J51" t="s">
        <v>81</v>
      </c>
      <c r="K51" t="s">
        <v>78</v>
      </c>
      <c r="L51" t="s">
        <v>125</v>
      </c>
      <c r="M51" t="s">
        <v>126</v>
      </c>
      <c r="N51" s="3">
        <v>45890</v>
      </c>
      <c r="O51">
        <v>368.85</v>
      </c>
      <c r="P51" t="s">
        <v>56</v>
      </c>
      <c r="Q51" t="s">
        <v>57</v>
      </c>
      <c r="R51" t="s">
        <v>58</v>
      </c>
      <c r="S51" t="s">
        <v>81</v>
      </c>
      <c r="T51" t="s">
        <v>78</v>
      </c>
      <c r="U51" t="s">
        <v>92</v>
      </c>
      <c r="V51" t="b">
        <v>1</v>
      </c>
      <c r="W51">
        <v>0</v>
      </c>
      <c r="X51">
        <v>0</v>
      </c>
      <c r="Y51" t="s">
        <v>14</v>
      </c>
    </row>
    <row r="52" spans="1:25">
      <c r="A52" t="s">
        <v>158</v>
      </c>
      <c r="B52" t="s">
        <v>158</v>
      </c>
      <c r="C52" t="s">
        <v>87</v>
      </c>
      <c r="D52" t="s">
        <v>88</v>
      </c>
      <c r="E52" s="3">
        <v>45859</v>
      </c>
      <c r="F52">
        <v>978</v>
      </c>
      <c r="G52" t="s">
        <v>56</v>
      </c>
      <c r="H52" t="s">
        <v>73</v>
      </c>
      <c r="I52" t="s">
        <v>58</v>
      </c>
      <c r="K52" t="s">
        <v>107</v>
      </c>
      <c r="L52" t="s">
        <v>100</v>
      </c>
      <c r="M52" t="s">
        <v>101</v>
      </c>
      <c r="N52" s="3">
        <v>45859</v>
      </c>
      <c r="O52">
        <v>978</v>
      </c>
      <c r="P52" t="s">
        <v>56</v>
      </c>
      <c r="Q52" t="s">
        <v>73</v>
      </c>
      <c r="R52" t="s">
        <v>58</v>
      </c>
      <c r="T52" t="s">
        <v>107</v>
      </c>
      <c r="U52" t="s">
        <v>87</v>
      </c>
      <c r="V52" t="b">
        <v>1</v>
      </c>
      <c r="W52">
        <v>0</v>
      </c>
      <c r="X52">
        <v>0</v>
      </c>
      <c r="Y52" t="s">
        <v>14</v>
      </c>
    </row>
    <row r="53" spans="1:25">
      <c r="A53" t="s">
        <v>159</v>
      </c>
      <c r="B53" t="s">
        <v>159</v>
      </c>
      <c r="C53" t="s">
        <v>92</v>
      </c>
      <c r="D53" t="s">
        <v>93</v>
      </c>
      <c r="E53" s="3">
        <v>45877</v>
      </c>
      <c r="F53">
        <v>559.33000000000004</v>
      </c>
      <c r="G53" t="s">
        <v>56</v>
      </c>
      <c r="H53" t="s">
        <v>65</v>
      </c>
      <c r="I53" t="s">
        <v>103</v>
      </c>
      <c r="J53" t="s">
        <v>117</v>
      </c>
      <c r="K53" t="s">
        <v>59</v>
      </c>
      <c r="L53" t="s">
        <v>94</v>
      </c>
      <c r="M53" t="s">
        <v>95</v>
      </c>
      <c r="N53" s="3">
        <v>45877</v>
      </c>
      <c r="O53">
        <v>559.33000000000004</v>
      </c>
      <c r="P53" t="s">
        <v>56</v>
      </c>
      <c r="Q53" t="s">
        <v>65</v>
      </c>
      <c r="R53" t="s">
        <v>103</v>
      </c>
      <c r="S53" t="s">
        <v>117</v>
      </c>
      <c r="T53" t="s">
        <v>59</v>
      </c>
      <c r="U53" t="s">
        <v>92</v>
      </c>
      <c r="V53" t="b">
        <v>1</v>
      </c>
      <c r="W53">
        <v>0</v>
      </c>
      <c r="X53">
        <v>0</v>
      </c>
      <c r="Y53" t="s">
        <v>14</v>
      </c>
    </row>
    <row r="54" spans="1:25">
      <c r="A54" t="s">
        <v>160</v>
      </c>
      <c r="B54" t="s">
        <v>160</v>
      </c>
      <c r="C54" t="s">
        <v>92</v>
      </c>
      <c r="D54" t="s">
        <v>93</v>
      </c>
      <c r="E54" s="3">
        <v>45908</v>
      </c>
      <c r="F54">
        <v>525.36</v>
      </c>
      <c r="G54" t="s">
        <v>56</v>
      </c>
      <c r="H54" t="s">
        <v>65</v>
      </c>
      <c r="I54" t="s">
        <v>103</v>
      </c>
      <c r="J54" t="s">
        <v>85</v>
      </c>
      <c r="K54" t="s">
        <v>78</v>
      </c>
      <c r="L54" t="s">
        <v>125</v>
      </c>
      <c r="M54" t="s">
        <v>126</v>
      </c>
      <c r="N54" s="3">
        <v>45908</v>
      </c>
      <c r="O54">
        <v>525.36</v>
      </c>
      <c r="P54" t="s">
        <v>56</v>
      </c>
      <c r="Q54" t="s">
        <v>65</v>
      </c>
      <c r="R54" t="s">
        <v>103</v>
      </c>
      <c r="S54" t="s">
        <v>85</v>
      </c>
      <c r="T54" t="s">
        <v>78</v>
      </c>
      <c r="U54" t="s">
        <v>92</v>
      </c>
      <c r="V54" t="b">
        <v>1</v>
      </c>
      <c r="W54">
        <v>0</v>
      </c>
      <c r="X54">
        <v>0</v>
      </c>
      <c r="Y54" t="s">
        <v>14</v>
      </c>
    </row>
    <row r="55" spans="1:25">
      <c r="A55" t="s">
        <v>161</v>
      </c>
      <c r="B55" t="s">
        <v>161</v>
      </c>
      <c r="C55" t="s">
        <v>92</v>
      </c>
      <c r="D55" t="s">
        <v>93</v>
      </c>
      <c r="E55" s="3">
        <v>45865</v>
      </c>
      <c r="F55">
        <v>563.14</v>
      </c>
      <c r="G55" t="s">
        <v>56</v>
      </c>
      <c r="H55" t="s">
        <v>73</v>
      </c>
      <c r="I55" t="s">
        <v>77</v>
      </c>
      <c r="J55" t="s">
        <v>99</v>
      </c>
      <c r="K55" t="s">
        <v>107</v>
      </c>
      <c r="L55" t="s">
        <v>94</v>
      </c>
      <c r="M55" t="s">
        <v>95</v>
      </c>
      <c r="N55" s="3">
        <v>45865</v>
      </c>
      <c r="O55">
        <v>563.14</v>
      </c>
      <c r="P55" t="s">
        <v>56</v>
      </c>
      <c r="Q55" t="s">
        <v>73</v>
      </c>
      <c r="R55" t="s">
        <v>77</v>
      </c>
      <c r="S55" t="s">
        <v>99</v>
      </c>
      <c r="T55" t="s">
        <v>107</v>
      </c>
      <c r="U55" t="s">
        <v>92</v>
      </c>
      <c r="V55" t="b">
        <v>1</v>
      </c>
      <c r="W55">
        <v>0</v>
      </c>
      <c r="X55">
        <v>0</v>
      </c>
      <c r="Y55" t="s">
        <v>14</v>
      </c>
    </row>
    <row r="56" spans="1:25">
      <c r="A56" t="s">
        <v>162</v>
      </c>
      <c r="B56" t="s">
        <v>162</v>
      </c>
      <c r="C56" t="s">
        <v>87</v>
      </c>
      <c r="D56" t="s">
        <v>88</v>
      </c>
      <c r="E56" s="3">
        <v>45884</v>
      </c>
      <c r="F56">
        <v>-466.91</v>
      </c>
      <c r="G56" t="s">
        <v>56</v>
      </c>
      <c r="H56" t="s">
        <v>80</v>
      </c>
      <c r="I56" t="s">
        <v>58</v>
      </c>
      <c r="K56" t="s">
        <v>78</v>
      </c>
      <c r="L56" t="s">
        <v>89</v>
      </c>
      <c r="M56" t="s">
        <v>90</v>
      </c>
      <c r="N56" s="3">
        <v>45885</v>
      </c>
      <c r="O56">
        <v>-467.28</v>
      </c>
      <c r="P56" t="s">
        <v>56</v>
      </c>
      <c r="Q56" t="s">
        <v>80</v>
      </c>
      <c r="R56" t="s">
        <v>58</v>
      </c>
      <c r="T56" t="s">
        <v>78</v>
      </c>
      <c r="U56" t="s">
        <v>87</v>
      </c>
      <c r="V56" t="b">
        <v>1</v>
      </c>
      <c r="W56">
        <v>0.37</v>
      </c>
      <c r="X56">
        <v>-1</v>
      </c>
      <c r="Y56" t="s">
        <v>15</v>
      </c>
    </row>
    <row r="57" spans="1:25">
      <c r="A57" t="s">
        <v>163</v>
      </c>
      <c r="B57" t="s">
        <v>163</v>
      </c>
      <c r="C57" t="s">
        <v>54</v>
      </c>
      <c r="D57" t="s">
        <v>55</v>
      </c>
      <c r="E57" s="3">
        <v>45866</v>
      </c>
      <c r="F57">
        <v>-422.63</v>
      </c>
      <c r="G57" t="s">
        <v>56</v>
      </c>
      <c r="H57" t="s">
        <v>65</v>
      </c>
      <c r="I57" t="s">
        <v>77</v>
      </c>
      <c r="J57" t="s">
        <v>81</v>
      </c>
      <c r="K57" t="s">
        <v>105</v>
      </c>
      <c r="L57" t="s">
        <v>60</v>
      </c>
      <c r="M57" t="s">
        <v>61</v>
      </c>
      <c r="N57" s="3">
        <v>45866</v>
      </c>
      <c r="O57">
        <v>-422.63</v>
      </c>
      <c r="P57" t="s">
        <v>56</v>
      </c>
      <c r="Q57" t="s">
        <v>65</v>
      </c>
      <c r="R57" t="s">
        <v>77</v>
      </c>
      <c r="S57" t="s">
        <v>81</v>
      </c>
      <c r="T57" t="s">
        <v>105</v>
      </c>
      <c r="U57" t="s">
        <v>54</v>
      </c>
      <c r="V57" t="b">
        <v>1</v>
      </c>
      <c r="W57">
        <v>0</v>
      </c>
      <c r="X57">
        <v>0</v>
      </c>
      <c r="Y57" t="s">
        <v>14</v>
      </c>
    </row>
    <row r="58" spans="1:25">
      <c r="A58" t="s">
        <v>164</v>
      </c>
      <c r="B58" t="s">
        <v>164</v>
      </c>
      <c r="C58" t="s">
        <v>63</v>
      </c>
      <c r="D58" t="s">
        <v>64</v>
      </c>
      <c r="E58" s="3">
        <v>45882</v>
      </c>
      <c r="F58">
        <v>141.26</v>
      </c>
      <c r="G58" t="s">
        <v>56</v>
      </c>
      <c r="H58" t="s">
        <v>65</v>
      </c>
      <c r="I58" t="s">
        <v>97</v>
      </c>
      <c r="J58" t="s">
        <v>81</v>
      </c>
      <c r="K58" t="s">
        <v>105</v>
      </c>
      <c r="L58" t="s">
        <v>68</v>
      </c>
      <c r="M58" t="s">
        <v>69</v>
      </c>
      <c r="N58" s="3">
        <v>45882</v>
      </c>
      <c r="O58">
        <v>141.26</v>
      </c>
      <c r="P58" t="s">
        <v>56</v>
      </c>
      <c r="Q58" t="s">
        <v>65</v>
      </c>
      <c r="R58" t="s">
        <v>97</v>
      </c>
      <c r="S58" t="s">
        <v>81</v>
      </c>
      <c r="T58" t="s">
        <v>105</v>
      </c>
      <c r="U58" t="s">
        <v>63</v>
      </c>
      <c r="V58" t="b">
        <v>1</v>
      </c>
      <c r="W58">
        <v>0</v>
      </c>
      <c r="X58">
        <v>0</v>
      </c>
      <c r="Y58" t="s">
        <v>14</v>
      </c>
    </row>
    <row r="59" spans="1:25">
      <c r="A59" t="s">
        <v>165</v>
      </c>
      <c r="B59" t="s">
        <v>165</v>
      </c>
      <c r="C59" t="s">
        <v>71</v>
      </c>
      <c r="D59" t="s">
        <v>72</v>
      </c>
      <c r="E59" s="3">
        <v>45889</v>
      </c>
      <c r="F59">
        <v>625.41</v>
      </c>
      <c r="G59" t="s">
        <v>56</v>
      </c>
      <c r="H59" t="s">
        <v>73</v>
      </c>
      <c r="I59" t="s">
        <v>97</v>
      </c>
      <c r="J59" t="s">
        <v>99</v>
      </c>
      <c r="K59" t="s">
        <v>138</v>
      </c>
      <c r="L59" t="s">
        <v>74</v>
      </c>
      <c r="M59" t="s">
        <v>75</v>
      </c>
      <c r="N59" s="3">
        <v>45889</v>
      </c>
      <c r="O59">
        <v>625.41</v>
      </c>
      <c r="P59" t="s">
        <v>56</v>
      </c>
      <c r="Q59" t="s">
        <v>73</v>
      </c>
      <c r="R59" t="s">
        <v>97</v>
      </c>
      <c r="S59" t="s">
        <v>99</v>
      </c>
      <c r="T59" t="s">
        <v>138</v>
      </c>
      <c r="U59" t="s">
        <v>71</v>
      </c>
      <c r="V59" t="b">
        <v>1</v>
      </c>
      <c r="W59">
        <v>0</v>
      </c>
      <c r="X59">
        <v>0</v>
      </c>
      <c r="Y59" t="s">
        <v>14</v>
      </c>
    </row>
    <row r="60" spans="1:25">
      <c r="A60" t="s">
        <v>166</v>
      </c>
      <c r="B60" t="s">
        <v>166</v>
      </c>
      <c r="C60" t="s">
        <v>63</v>
      </c>
      <c r="D60" t="s">
        <v>64</v>
      </c>
      <c r="E60" s="3">
        <v>45903</v>
      </c>
      <c r="F60">
        <v>-476.31</v>
      </c>
      <c r="G60" t="s">
        <v>56</v>
      </c>
      <c r="H60" t="s">
        <v>80</v>
      </c>
      <c r="I60" t="s">
        <v>77</v>
      </c>
      <c r="J60" t="s">
        <v>117</v>
      </c>
      <c r="K60" t="s">
        <v>105</v>
      </c>
      <c r="L60" t="s">
        <v>68</v>
      </c>
      <c r="M60" t="s">
        <v>69</v>
      </c>
      <c r="N60" s="3">
        <v>45903</v>
      </c>
      <c r="O60">
        <v>-476.31</v>
      </c>
      <c r="P60" t="s">
        <v>56</v>
      </c>
      <c r="Q60" t="s">
        <v>80</v>
      </c>
      <c r="R60" t="s">
        <v>77</v>
      </c>
      <c r="S60" t="s">
        <v>117</v>
      </c>
      <c r="T60" t="s">
        <v>105</v>
      </c>
      <c r="U60" t="s">
        <v>63</v>
      </c>
      <c r="V60" t="b">
        <v>1</v>
      </c>
      <c r="W60">
        <v>0</v>
      </c>
      <c r="X60">
        <v>0</v>
      </c>
      <c r="Y60" t="s">
        <v>14</v>
      </c>
    </row>
    <row r="61" spans="1:25">
      <c r="A61" t="s">
        <v>167</v>
      </c>
      <c r="B61" t="s">
        <v>167</v>
      </c>
      <c r="C61" t="s">
        <v>63</v>
      </c>
      <c r="D61" t="s">
        <v>64</v>
      </c>
      <c r="E61" s="3">
        <v>45881</v>
      </c>
      <c r="F61">
        <v>-798.27</v>
      </c>
      <c r="G61" t="s">
        <v>56</v>
      </c>
      <c r="H61" t="s">
        <v>80</v>
      </c>
      <c r="I61" t="s">
        <v>58</v>
      </c>
      <c r="J61" t="s">
        <v>66</v>
      </c>
      <c r="L61" t="s">
        <v>82</v>
      </c>
      <c r="M61" t="s">
        <v>83</v>
      </c>
      <c r="N61" s="3">
        <v>45881</v>
      </c>
      <c r="O61">
        <v>-798.27</v>
      </c>
      <c r="P61" t="s">
        <v>56</v>
      </c>
      <c r="Q61" t="s">
        <v>80</v>
      </c>
      <c r="R61" t="s">
        <v>58</v>
      </c>
      <c r="S61" t="s">
        <v>66</v>
      </c>
      <c r="U61" t="s">
        <v>63</v>
      </c>
      <c r="V61" t="b">
        <v>1</v>
      </c>
      <c r="W61">
        <v>0</v>
      </c>
      <c r="X61">
        <v>0</v>
      </c>
      <c r="Y61" t="s">
        <v>14</v>
      </c>
    </row>
    <row r="62" spans="1:25">
      <c r="A62" t="s">
        <v>168</v>
      </c>
      <c r="B62" t="s">
        <v>168</v>
      </c>
      <c r="C62" t="s">
        <v>87</v>
      </c>
      <c r="D62" t="s">
        <v>88</v>
      </c>
      <c r="E62" s="3">
        <v>45913</v>
      </c>
      <c r="F62">
        <v>-407.8</v>
      </c>
      <c r="G62" t="s">
        <v>56</v>
      </c>
      <c r="H62" t="s">
        <v>80</v>
      </c>
      <c r="I62" t="s">
        <v>103</v>
      </c>
      <c r="J62" t="s">
        <v>66</v>
      </c>
      <c r="L62" t="s">
        <v>89</v>
      </c>
      <c r="M62" t="s">
        <v>90</v>
      </c>
      <c r="N62" s="3">
        <v>45914</v>
      </c>
      <c r="O62">
        <v>-406.08</v>
      </c>
      <c r="P62" t="s">
        <v>56</v>
      </c>
      <c r="Q62" t="s">
        <v>80</v>
      </c>
      <c r="R62" t="s">
        <v>103</v>
      </c>
      <c r="S62" t="s">
        <v>66</v>
      </c>
      <c r="U62" t="s">
        <v>87</v>
      </c>
      <c r="V62" t="b">
        <v>1</v>
      </c>
      <c r="W62">
        <v>-1.72</v>
      </c>
      <c r="X62">
        <v>-1</v>
      </c>
      <c r="Y62" t="s">
        <v>17</v>
      </c>
    </row>
    <row r="63" spans="1:25">
      <c r="A63" t="s">
        <v>169</v>
      </c>
      <c r="B63" t="s">
        <v>169</v>
      </c>
      <c r="C63" t="s">
        <v>150</v>
      </c>
      <c r="D63" t="s">
        <v>151</v>
      </c>
      <c r="E63" s="3">
        <v>45874</v>
      </c>
      <c r="F63">
        <v>23.41</v>
      </c>
      <c r="G63" t="s">
        <v>56</v>
      </c>
      <c r="H63" t="s">
        <v>73</v>
      </c>
      <c r="I63" t="s">
        <v>103</v>
      </c>
      <c r="J63" t="s">
        <v>117</v>
      </c>
      <c r="K63" t="s">
        <v>78</v>
      </c>
      <c r="L63" t="s">
        <v>152</v>
      </c>
      <c r="M63" t="s">
        <v>153</v>
      </c>
      <c r="N63" s="3">
        <v>45874</v>
      </c>
      <c r="O63">
        <v>23.41</v>
      </c>
      <c r="P63" t="s">
        <v>56</v>
      </c>
      <c r="Q63" t="s">
        <v>73</v>
      </c>
      <c r="R63" t="s">
        <v>103</v>
      </c>
      <c r="S63" t="s">
        <v>117</v>
      </c>
      <c r="T63" t="s">
        <v>78</v>
      </c>
      <c r="U63" t="s">
        <v>150</v>
      </c>
      <c r="V63" t="b">
        <v>1</v>
      </c>
      <c r="W63">
        <v>0</v>
      </c>
      <c r="X63">
        <v>0</v>
      </c>
      <c r="Y63" t="s">
        <v>14</v>
      </c>
    </row>
    <row r="64" spans="1:25">
      <c r="A64" t="s">
        <v>170</v>
      </c>
      <c r="B64" t="s">
        <v>170</v>
      </c>
      <c r="C64" t="s">
        <v>92</v>
      </c>
      <c r="D64" t="s">
        <v>93</v>
      </c>
      <c r="E64" s="3">
        <v>45915</v>
      </c>
      <c r="F64">
        <v>475.1</v>
      </c>
      <c r="G64" t="s">
        <v>56</v>
      </c>
      <c r="H64" t="s">
        <v>73</v>
      </c>
      <c r="I64" t="s">
        <v>103</v>
      </c>
      <c r="J64" t="s">
        <v>66</v>
      </c>
      <c r="K64" t="s">
        <v>138</v>
      </c>
      <c r="L64" t="s">
        <v>125</v>
      </c>
      <c r="M64" t="s">
        <v>126</v>
      </c>
      <c r="N64" s="3">
        <v>45915</v>
      </c>
      <c r="O64">
        <v>475.1</v>
      </c>
      <c r="P64" t="s">
        <v>56</v>
      </c>
      <c r="Q64" t="s">
        <v>73</v>
      </c>
      <c r="R64" t="s">
        <v>103</v>
      </c>
      <c r="S64" t="s">
        <v>66</v>
      </c>
      <c r="T64" t="s">
        <v>138</v>
      </c>
      <c r="U64" t="s">
        <v>92</v>
      </c>
      <c r="V64" t="b">
        <v>1</v>
      </c>
      <c r="W64">
        <v>0</v>
      </c>
      <c r="X64">
        <v>0</v>
      </c>
      <c r="Y64" t="s">
        <v>14</v>
      </c>
    </row>
    <row r="65" spans="1:25">
      <c r="A65" t="s">
        <v>171</v>
      </c>
      <c r="B65" t="s">
        <v>171</v>
      </c>
      <c r="C65" t="s">
        <v>63</v>
      </c>
      <c r="D65" t="s">
        <v>64</v>
      </c>
      <c r="E65" s="3">
        <v>45908</v>
      </c>
      <c r="F65">
        <v>924.88</v>
      </c>
      <c r="G65" t="s">
        <v>56</v>
      </c>
      <c r="H65" t="s">
        <v>73</v>
      </c>
      <c r="I65" t="s">
        <v>58</v>
      </c>
      <c r="J65" t="s">
        <v>99</v>
      </c>
      <c r="K65" t="s">
        <v>107</v>
      </c>
      <c r="L65" t="s">
        <v>82</v>
      </c>
      <c r="M65" t="s">
        <v>83</v>
      </c>
      <c r="N65" s="3">
        <v>45908</v>
      </c>
      <c r="O65">
        <v>924.51</v>
      </c>
      <c r="P65" t="s">
        <v>56</v>
      </c>
      <c r="Q65" t="s">
        <v>73</v>
      </c>
      <c r="R65" t="s">
        <v>58</v>
      </c>
      <c r="S65" t="s">
        <v>99</v>
      </c>
      <c r="T65" t="s">
        <v>107</v>
      </c>
      <c r="U65" t="s">
        <v>63</v>
      </c>
      <c r="V65" t="b">
        <v>1</v>
      </c>
      <c r="W65">
        <v>0.37</v>
      </c>
      <c r="X65">
        <v>0</v>
      </c>
      <c r="Y65" t="s">
        <v>15</v>
      </c>
    </row>
    <row r="66" spans="1:25">
      <c r="A66" t="s">
        <v>172</v>
      </c>
      <c r="B66" t="s">
        <v>172</v>
      </c>
      <c r="C66" t="s">
        <v>63</v>
      </c>
      <c r="D66" t="s">
        <v>64</v>
      </c>
      <c r="E66" s="3">
        <v>45908</v>
      </c>
      <c r="F66">
        <v>-404.14</v>
      </c>
      <c r="G66" t="s">
        <v>56</v>
      </c>
      <c r="H66" t="s">
        <v>65</v>
      </c>
      <c r="I66" t="s">
        <v>58</v>
      </c>
      <c r="J66" t="s">
        <v>99</v>
      </c>
      <c r="L66" t="s">
        <v>68</v>
      </c>
      <c r="M66" t="s">
        <v>69</v>
      </c>
      <c r="N66" s="3">
        <v>45908</v>
      </c>
      <c r="O66">
        <v>-404.14</v>
      </c>
      <c r="P66" t="s">
        <v>56</v>
      </c>
      <c r="Q66" t="s">
        <v>65</v>
      </c>
      <c r="R66" t="s">
        <v>58</v>
      </c>
      <c r="S66" t="s">
        <v>99</v>
      </c>
      <c r="U66" t="s">
        <v>63</v>
      </c>
      <c r="V66" t="b">
        <v>1</v>
      </c>
      <c r="W66">
        <v>0</v>
      </c>
      <c r="X66">
        <v>0</v>
      </c>
      <c r="Y66" t="s">
        <v>14</v>
      </c>
    </row>
    <row r="67" spans="1:25">
      <c r="A67" t="s">
        <v>173</v>
      </c>
      <c r="B67" t="s">
        <v>173</v>
      </c>
      <c r="C67" t="s">
        <v>63</v>
      </c>
      <c r="D67" t="s">
        <v>64</v>
      </c>
      <c r="E67" s="3">
        <v>45886</v>
      </c>
      <c r="F67">
        <v>-277.54000000000002</v>
      </c>
      <c r="G67" t="s">
        <v>56</v>
      </c>
      <c r="H67" t="s">
        <v>73</v>
      </c>
      <c r="I67" t="s">
        <v>103</v>
      </c>
      <c r="J67" t="s">
        <v>85</v>
      </c>
      <c r="K67" t="s">
        <v>78</v>
      </c>
      <c r="L67" t="s">
        <v>68</v>
      </c>
      <c r="M67" t="s">
        <v>69</v>
      </c>
      <c r="N67" s="3">
        <v>45888</v>
      </c>
      <c r="O67">
        <v>-272.58999999999997</v>
      </c>
      <c r="P67" t="s">
        <v>56</v>
      </c>
      <c r="Q67" t="s">
        <v>73</v>
      </c>
      <c r="R67" t="s">
        <v>103</v>
      </c>
      <c r="S67" t="s">
        <v>85</v>
      </c>
      <c r="T67" t="s">
        <v>78</v>
      </c>
      <c r="U67" t="s">
        <v>63</v>
      </c>
      <c r="V67" t="b">
        <v>1</v>
      </c>
      <c r="W67">
        <v>-4.95</v>
      </c>
      <c r="X67">
        <v>-2</v>
      </c>
      <c r="Y67" t="s">
        <v>17</v>
      </c>
    </row>
    <row r="68" spans="1:25">
      <c r="A68" t="s">
        <v>174</v>
      </c>
      <c r="B68" t="s">
        <v>174</v>
      </c>
      <c r="C68" t="s">
        <v>63</v>
      </c>
      <c r="D68" t="s">
        <v>64</v>
      </c>
      <c r="E68" s="3">
        <v>45890</v>
      </c>
      <c r="F68">
        <v>201.6</v>
      </c>
      <c r="G68" t="s">
        <v>56</v>
      </c>
      <c r="H68" t="s">
        <v>57</v>
      </c>
      <c r="I68" t="s">
        <v>97</v>
      </c>
      <c r="J68" t="s">
        <v>99</v>
      </c>
      <c r="K68" t="s">
        <v>107</v>
      </c>
      <c r="L68" t="s">
        <v>82</v>
      </c>
      <c r="M68" t="s">
        <v>83</v>
      </c>
      <c r="N68" s="3">
        <v>45890</v>
      </c>
      <c r="O68">
        <v>201.6</v>
      </c>
      <c r="P68" t="s">
        <v>56</v>
      </c>
      <c r="Q68" t="s">
        <v>57</v>
      </c>
      <c r="R68" t="s">
        <v>97</v>
      </c>
      <c r="S68" t="s">
        <v>99</v>
      </c>
      <c r="T68" t="s">
        <v>107</v>
      </c>
      <c r="U68" t="s">
        <v>63</v>
      </c>
      <c r="V68" t="b">
        <v>1</v>
      </c>
      <c r="W68">
        <v>0</v>
      </c>
      <c r="X68">
        <v>0</v>
      </c>
      <c r="Y68" t="s">
        <v>14</v>
      </c>
    </row>
    <row r="69" spans="1:25">
      <c r="A69" t="s">
        <v>175</v>
      </c>
      <c r="B69" t="s">
        <v>175</v>
      </c>
      <c r="C69" t="s">
        <v>150</v>
      </c>
      <c r="D69" t="s">
        <v>151</v>
      </c>
      <c r="E69" s="3">
        <v>45869</v>
      </c>
      <c r="F69">
        <v>237.5</v>
      </c>
      <c r="G69" t="s">
        <v>56</v>
      </c>
      <c r="H69" t="s">
        <v>80</v>
      </c>
      <c r="I69" t="s">
        <v>97</v>
      </c>
      <c r="J69" t="s">
        <v>99</v>
      </c>
      <c r="K69" t="s">
        <v>67</v>
      </c>
      <c r="L69" t="s">
        <v>152</v>
      </c>
      <c r="M69" t="s">
        <v>153</v>
      </c>
      <c r="N69" s="3">
        <v>45869</v>
      </c>
      <c r="O69">
        <v>237.5</v>
      </c>
      <c r="P69" t="s">
        <v>56</v>
      </c>
      <c r="Q69" t="s">
        <v>80</v>
      </c>
      <c r="R69" t="s">
        <v>97</v>
      </c>
      <c r="S69" t="s">
        <v>99</v>
      </c>
      <c r="T69" t="s">
        <v>67</v>
      </c>
      <c r="U69" t="s">
        <v>150</v>
      </c>
      <c r="V69" t="b">
        <v>1</v>
      </c>
      <c r="W69">
        <v>0</v>
      </c>
      <c r="X69">
        <v>0</v>
      </c>
      <c r="Y69" t="s">
        <v>14</v>
      </c>
    </row>
    <row r="70" spans="1:25">
      <c r="A70" t="s">
        <v>176</v>
      </c>
      <c r="B70" t="s">
        <v>176</v>
      </c>
      <c r="C70" t="s">
        <v>92</v>
      </c>
      <c r="D70" t="s">
        <v>93</v>
      </c>
      <c r="E70" s="3">
        <v>45900</v>
      </c>
      <c r="F70">
        <v>-424.95</v>
      </c>
      <c r="G70" t="s">
        <v>56</v>
      </c>
      <c r="H70" t="s">
        <v>80</v>
      </c>
      <c r="I70" t="s">
        <v>58</v>
      </c>
      <c r="J70" t="s">
        <v>99</v>
      </c>
      <c r="K70" t="s">
        <v>107</v>
      </c>
      <c r="L70" t="s">
        <v>125</v>
      </c>
      <c r="M70" t="s">
        <v>126</v>
      </c>
      <c r="N70" s="3">
        <v>45900</v>
      </c>
      <c r="O70">
        <v>-424.95</v>
      </c>
      <c r="P70" t="s">
        <v>56</v>
      </c>
      <c r="Q70" t="s">
        <v>80</v>
      </c>
      <c r="R70" t="s">
        <v>58</v>
      </c>
      <c r="S70" t="s">
        <v>99</v>
      </c>
      <c r="T70" t="s">
        <v>107</v>
      </c>
      <c r="U70" t="s">
        <v>92</v>
      </c>
      <c r="V70" t="b">
        <v>1</v>
      </c>
      <c r="W70">
        <v>0</v>
      </c>
      <c r="X70">
        <v>0</v>
      </c>
      <c r="Y70" t="s">
        <v>14</v>
      </c>
    </row>
    <row r="71" spans="1:25">
      <c r="A71" t="s">
        <v>177</v>
      </c>
      <c r="B71" t="s">
        <v>177</v>
      </c>
      <c r="C71" t="s">
        <v>63</v>
      </c>
      <c r="D71" t="s">
        <v>64</v>
      </c>
      <c r="E71" s="3">
        <v>45858</v>
      </c>
      <c r="F71">
        <v>205</v>
      </c>
      <c r="G71" t="s">
        <v>56</v>
      </c>
      <c r="H71" t="s">
        <v>65</v>
      </c>
      <c r="I71" t="s">
        <v>77</v>
      </c>
      <c r="J71" t="s">
        <v>81</v>
      </c>
      <c r="K71" t="s">
        <v>67</v>
      </c>
      <c r="L71" t="s">
        <v>82</v>
      </c>
      <c r="M71" t="s">
        <v>83</v>
      </c>
      <c r="N71" s="3">
        <v>45858</v>
      </c>
      <c r="O71">
        <v>205.18</v>
      </c>
      <c r="P71" t="s">
        <v>56</v>
      </c>
      <c r="Q71" t="s">
        <v>65</v>
      </c>
      <c r="R71" t="s">
        <v>77</v>
      </c>
      <c r="S71" t="s">
        <v>81</v>
      </c>
      <c r="T71" t="s">
        <v>67</v>
      </c>
      <c r="U71" t="s">
        <v>63</v>
      </c>
      <c r="V71" t="b">
        <v>1</v>
      </c>
      <c r="W71">
        <v>-0.18</v>
      </c>
      <c r="X71">
        <v>0</v>
      </c>
      <c r="Y71" t="s">
        <v>15</v>
      </c>
    </row>
    <row r="72" spans="1:25">
      <c r="A72" t="s">
        <v>178</v>
      </c>
      <c r="B72" t="s">
        <v>178</v>
      </c>
      <c r="C72" t="s">
        <v>63</v>
      </c>
      <c r="D72" t="s">
        <v>64</v>
      </c>
      <c r="E72" s="3">
        <v>45899</v>
      </c>
      <c r="F72">
        <v>874.41</v>
      </c>
      <c r="G72" t="s">
        <v>56</v>
      </c>
      <c r="H72" t="s">
        <v>73</v>
      </c>
      <c r="I72" t="s">
        <v>77</v>
      </c>
      <c r="J72" t="s">
        <v>85</v>
      </c>
      <c r="L72" t="s">
        <v>68</v>
      </c>
      <c r="M72" t="s">
        <v>69</v>
      </c>
      <c r="N72" s="3">
        <v>45899</v>
      </c>
      <c r="O72">
        <v>874.41</v>
      </c>
      <c r="P72" t="s">
        <v>56</v>
      </c>
      <c r="Q72" t="s">
        <v>73</v>
      </c>
      <c r="R72" t="s">
        <v>77</v>
      </c>
      <c r="S72" t="s">
        <v>85</v>
      </c>
      <c r="U72" t="s">
        <v>63</v>
      </c>
      <c r="V72" t="b">
        <v>1</v>
      </c>
      <c r="W72">
        <v>0</v>
      </c>
      <c r="X72">
        <v>0</v>
      </c>
      <c r="Y72" t="s">
        <v>14</v>
      </c>
    </row>
    <row r="73" spans="1:25">
      <c r="A73" t="s">
        <v>179</v>
      </c>
      <c r="B73" t="s">
        <v>179</v>
      </c>
      <c r="C73" t="s">
        <v>71</v>
      </c>
      <c r="D73" t="s">
        <v>72</v>
      </c>
      <c r="E73" s="3">
        <v>45889</v>
      </c>
      <c r="F73">
        <v>-429.34</v>
      </c>
      <c r="G73" t="s">
        <v>56</v>
      </c>
      <c r="H73" t="s">
        <v>65</v>
      </c>
      <c r="I73" t="s">
        <v>97</v>
      </c>
      <c r="J73" t="s">
        <v>99</v>
      </c>
      <c r="K73" t="s">
        <v>78</v>
      </c>
      <c r="L73" t="s">
        <v>74</v>
      </c>
      <c r="M73" t="s">
        <v>75</v>
      </c>
      <c r="N73" s="3">
        <v>45889</v>
      </c>
      <c r="O73">
        <v>-429.34</v>
      </c>
      <c r="P73" t="s">
        <v>56</v>
      </c>
      <c r="Q73" t="s">
        <v>65</v>
      </c>
      <c r="R73" t="s">
        <v>97</v>
      </c>
      <c r="S73" t="s">
        <v>99</v>
      </c>
      <c r="T73" t="s">
        <v>78</v>
      </c>
      <c r="U73" t="s">
        <v>71</v>
      </c>
      <c r="V73" t="b">
        <v>1</v>
      </c>
      <c r="W73">
        <v>0</v>
      </c>
      <c r="X73">
        <v>0</v>
      </c>
      <c r="Y73" t="s">
        <v>14</v>
      </c>
    </row>
    <row r="74" spans="1:25">
      <c r="A74" t="s">
        <v>180</v>
      </c>
      <c r="B74" t="s">
        <v>180</v>
      </c>
      <c r="C74" t="s">
        <v>150</v>
      </c>
      <c r="D74" t="s">
        <v>151</v>
      </c>
      <c r="E74" s="3">
        <v>45882</v>
      </c>
      <c r="F74">
        <v>527.16</v>
      </c>
      <c r="G74" t="s">
        <v>56</v>
      </c>
      <c r="H74" t="s">
        <v>57</v>
      </c>
      <c r="I74" t="s">
        <v>97</v>
      </c>
      <c r="J74" t="s">
        <v>66</v>
      </c>
      <c r="K74" t="s">
        <v>107</v>
      </c>
      <c r="L74" t="s">
        <v>152</v>
      </c>
      <c r="M74" t="s">
        <v>153</v>
      </c>
      <c r="N74" s="3">
        <v>45882</v>
      </c>
      <c r="O74">
        <v>527.16</v>
      </c>
      <c r="P74" t="s">
        <v>56</v>
      </c>
      <c r="Q74" t="s">
        <v>57</v>
      </c>
      <c r="R74" t="s">
        <v>97</v>
      </c>
      <c r="S74" t="s">
        <v>66</v>
      </c>
      <c r="T74" t="s">
        <v>107</v>
      </c>
      <c r="U74" t="s">
        <v>150</v>
      </c>
      <c r="V74" t="b">
        <v>1</v>
      </c>
      <c r="W74">
        <v>0</v>
      </c>
      <c r="X74">
        <v>0</v>
      </c>
      <c r="Y74" t="s">
        <v>14</v>
      </c>
    </row>
    <row r="75" spans="1:25">
      <c r="A75" t="s">
        <v>181</v>
      </c>
      <c r="B75" t="s">
        <v>181</v>
      </c>
      <c r="C75" t="s">
        <v>87</v>
      </c>
      <c r="D75" t="s">
        <v>88</v>
      </c>
      <c r="E75" s="3">
        <v>45884</v>
      </c>
      <c r="F75">
        <v>-859.56</v>
      </c>
      <c r="G75" t="s">
        <v>56</v>
      </c>
      <c r="H75" t="s">
        <v>57</v>
      </c>
      <c r="I75" t="s">
        <v>77</v>
      </c>
      <c r="K75" t="s">
        <v>59</v>
      </c>
      <c r="L75" t="s">
        <v>100</v>
      </c>
      <c r="M75" t="s">
        <v>101</v>
      </c>
      <c r="N75" s="3">
        <v>45884</v>
      </c>
      <c r="O75">
        <v>-859.56</v>
      </c>
      <c r="P75" t="s">
        <v>56</v>
      </c>
      <c r="Q75" t="s">
        <v>57</v>
      </c>
      <c r="R75" t="s">
        <v>77</v>
      </c>
      <c r="T75" t="s">
        <v>59</v>
      </c>
      <c r="U75" t="s">
        <v>87</v>
      </c>
      <c r="V75" t="b">
        <v>1</v>
      </c>
      <c r="W75">
        <v>0</v>
      </c>
      <c r="X75">
        <v>0</v>
      </c>
      <c r="Y75" t="s">
        <v>14</v>
      </c>
    </row>
    <row r="76" spans="1:25">
      <c r="A76" t="s">
        <v>182</v>
      </c>
      <c r="B76" t="s">
        <v>182</v>
      </c>
      <c r="C76" t="s">
        <v>87</v>
      </c>
      <c r="D76" t="s">
        <v>88</v>
      </c>
      <c r="E76" s="3">
        <v>45895</v>
      </c>
      <c r="F76">
        <v>-875.83</v>
      </c>
      <c r="G76" t="s">
        <v>56</v>
      </c>
      <c r="H76" t="s">
        <v>80</v>
      </c>
      <c r="I76" t="s">
        <v>58</v>
      </c>
      <c r="J76" t="s">
        <v>117</v>
      </c>
      <c r="K76" t="s">
        <v>78</v>
      </c>
      <c r="L76" t="s">
        <v>100</v>
      </c>
      <c r="M76" t="s">
        <v>101</v>
      </c>
      <c r="N76" s="3">
        <v>45895</v>
      </c>
      <c r="O76">
        <v>-875.83</v>
      </c>
      <c r="P76" t="s">
        <v>56</v>
      </c>
      <c r="Q76" t="s">
        <v>80</v>
      </c>
      <c r="R76" t="s">
        <v>58</v>
      </c>
      <c r="S76" t="s">
        <v>117</v>
      </c>
      <c r="T76" t="s">
        <v>78</v>
      </c>
      <c r="U76" t="s">
        <v>87</v>
      </c>
      <c r="V76" t="b">
        <v>1</v>
      </c>
      <c r="W76">
        <v>0</v>
      </c>
      <c r="X76">
        <v>0</v>
      </c>
      <c r="Y76" t="s">
        <v>14</v>
      </c>
    </row>
    <row r="77" spans="1:25">
      <c r="A77" t="s">
        <v>183</v>
      </c>
      <c r="B77" t="s">
        <v>183</v>
      </c>
      <c r="C77" t="s">
        <v>150</v>
      </c>
      <c r="D77" t="s">
        <v>151</v>
      </c>
      <c r="E77" s="3">
        <v>45874</v>
      </c>
      <c r="F77">
        <v>446.82</v>
      </c>
      <c r="G77" t="s">
        <v>56</v>
      </c>
      <c r="H77" t="s">
        <v>80</v>
      </c>
      <c r="I77" t="s">
        <v>103</v>
      </c>
      <c r="J77" t="s">
        <v>99</v>
      </c>
      <c r="K77" t="s">
        <v>59</v>
      </c>
      <c r="L77" t="s">
        <v>152</v>
      </c>
      <c r="M77" t="s">
        <v>153</v>
      </c>
      <c r="N77" s="3">
        <v>45874</v>
      </c>
      <c r="O77">
        <v>446.82</v>
      </c>
      <c r="P77" t="s">
        <v>56</v>
      </c>
      <c r="Q77" t="s">
        <v>80</v>
      </c>
      <c r="R77" t="s">
        <v>103</v>
      </c>
      <c r="S77" t="s">
        <v>99</v>
      </c>
      <c r="T77" t="s">
        <v>59</v>
      </c>
      <c r="U77" t="s">
        <v>150</v>
      </c>
      <c r="V77" t="b">
        <v>1</v>
      </c>
      <c r="W77">
        <v>0</v>
      </c>
      <c r="X77">
        <v>0</v>
      </c>
      <c r="Y77" t="s">
        <v>14</v>
      </c>
    </row>
    <row r="78" spans="1:25">
      <c r="A78" t="s">
        <v>184</v>
      </c>
      <c r="B78" t="s">
        <v>184</v>
      </c>
      <c r="C78" t="s">
        <v>54</v>
      </c>
      <c r="D78" t="s">
        <v>55</v>
      </c>
      <c r="E78" s="3">
        <v>45872</v>
      </c>
      <c r="F78">
        <v>-582.99</v>
      </c>
      <c r="G78" t="s">
        <v>56</v>
      </c>
      <c r="H78" t="s">
        <v>80</v>
      </c>
      <c r="I78" t="s">
        <v>97</v>
      </c>
      <c r="J78" t="s">
        <v>99</v>
      </c>
      <c r="K78" t="s">
        <v>78</v>
      </c>
      <c r="L78" t="s">
        <v>60</v>
      </c>
      <c r="M78" t="s">
        <v>61</v>
      </c>
      <c r="N78" s="3">
        <v>45874</v>
      </c>
      <c r="O78">
        <v>-582.61</v>
      </c>
      <c r="P78" t="s">
        <v>56</v>
      </c>
      <c r="Q78" t="s">
        <v>80</v>
      </c>
      <c r="R78" t="s">
        <v>97</v>
      </c>
      <c r="S78" t="s">
        <v>99</v>
      </c>
      <c r="T78" t="s">
        <v>78</v>
      </c>
      <c r="U78" t="s">
        <v>54</v>
      </c>
      <c r="V78" t="b">
        <v>1</v>
      </c>
      <c r="W78">
        <v>-0.38</v>
      </c>
      <c r="X78">
        <v>-2</v>
      </c>
      <c r="Y78" t="s">
        <v>15</v>
      </c>
    </row>
    <row r="79" spans="1:25">
      <c r="A79" t="s">
        <v>185</v>
      </c>
      <c r="B79" t="s">
        <v>185</v>
      </c>
      <c r="C79" t="s">
        <v>63</v>
      </c>
      <c r="D79" t="s">
        <v>64</v>
      </c>
      <c r="E79" s="3">
        <v>45878</v>
      </c>
      <c r="F79">
        <v>-683.76</v>
      </c>
      <c r="G79" t="s">
        <v>56</v>
      </c>
      <c r="H79" t="s">
        <v>73</v>
      </c>
      <c r="I79" t="s">
        <v>103</v>
      </c>
      <c r="J79" t="s">
        <v>85</v>
      </c>
      <c r="K79" t="s">
        <v>105</v>
      </c>
      <c r="L79" t="s">
        <v>82</v>
      </c>
      <c r="M79" t="s">
        <v>83</v>
      </c>
      <c r="N79" s="3">
        <v>45878</v>
      </c>
      <c r="O79">
        <v>-683.76</v>
      </c>
      <c r="P79" t="s">
        <v>56</v>
      </c>
      <c r="Q79" t="s">
        <v>73</v>
      </c>
      <c r="R79" t="s">
        <v>103</v>
      </c>
      <c r="S79" t="s">
        <v>85</v>
      </c>
      <c r="T79" t="s">
        <v>105</v>
      </c>
      <c r="U79" t="s">
        <v>63</v>
      </c>
      <c r="V79" t="b">
        <v>1</v>
      </c>
      <c r="W79">
        <v>0</v>
      </c>
      <c r="X79">
        <v>0</v>
      </c>
      <c r="Y79" t="s">
        <v>14</v>
      </c>
    </row>
    <row r="80" spans="1:25">
      <c r="A80" t="s">
        <v>186</v>
      </c>
      <c r="B80" t="s">
        <v>186</v>
      </c>
      <c r="C80" t="s">
        <v>87</v>
      </c>
      <c r="D80" t="s">
        <v>88</v>
      </c>
      <c r="E80" s="3">
        <v>45872</v>
      </c>
      <c r="F80">
        <v>451.79</v>
      </c>
      <c r="G80" t="s">
        <v>56</v>
      </c>
      <c r="H80" t="s">
        <v>57</v>
      </c>
      <c r="I80" t="s">
        <v>58</v>
      </c>
      <c r="J80" t="s">
        <v>99</v>
      </c>
      <c r="L80" t="s">
        <v>89</v>
      </c>
      <c r="M80" t="s">
        <v>90</v>
      </c>
      <c r="N80" s="3">
        <v>45872</v>
      </c>
      <c r="O80">
        <v>451.79</v>
      </c>
      <c r="P80" t="s">
        <v>56</v>
      </c>
      <c r="Q80" t="s">
        <v>57</v>
      </c>
      <c r="R80" t="s">
        <v>58</v>
      </c>
      <c r="S80" t="s">
        <v>99</v>
      </c>
      <c r="U80" t="s">
        <v>87</v>
      </c>
      <c r="V80" t="b">
        <v>1</v>
      </c>
      <c r="W80">
        <v>0</v>
      </c>
      <c r="X80">
        <v>0</v>
      </c>
      <c r="Y80" t="s">
        <v>14</v>
      </c>
    </row>
    <row r="81" spans="1:25">
      <c r="A81" t="s">
        <v>187</v>
      </c>
      <c r="B81" t="s">
        <v>187</v>
      </c>
      <c r="C81" t="s">
        <v>63</v>
      </c>
      <c r="D81" t="s">
        <v>64</v>
      </c>
      <c r="E81" s="3">
        <v>45866</v>
      </c>
      <c r="F81">
        <v>-55.5</v>
      </c>
      <c r="G81" t="s">
        <v>56</v>
      </c>
      <c r="H81" t="s">
        <v>57</v>
      </c>
      <c r="I81" t="s">
        <v>77</v>
      </c>
      <c r="J81" t="s">
        <v>66</v>
      </c>
      <c r="K81" t="s">
        <v>138</v>
      </c>
      <c r="L81" t="s">
        <v>68</v>
      </c>
      <c r="M81" t="s">
        <v>69</v>
      </c>
      <c r="N81" s="3">
        <v>45867</v>
      </c>
      <c r="O81">
        <v>-46.61</v>
      </c>
      <c r="P81" t="s">
        <v>56</v>
      </c>
      <c r="Q81" t="s">
        <v>57</v>
      </c>
      <c r="R81" t="s">
        <v>77</v>
      </c>
      <c r="S81" t="s">
        <v>66</v>
      </c>
      <c r="T81" t="s">
        <v>138</v>
      </c>
      <c r="U81" t="s">
        <v>63</v>
      </c>
      <c r="V81" t="b">
        <v>1</v>
      </c>
      <c r="W81">
        <v>-8.89</v>
      </c>
      <c r="X81">
        <v>-1</v>
      </c>
      <c r="Y81" t="s">
        <v>17</v>
      </c>
    </row>
    <row r="82" spans="1:25">
      <c r="A82" t="s">
        <v>188</v>
      </c>
      <c r="B82" t="s">
        <v>188</v>
      </c>
      <c r="C82" t="s">
        <v>87</v>
      </c>
      <c r="D82" t="s">
        <v>88</v>
      </c>
      <c r="E82" s="3">
        <v>45897</v>
      </c>
      <c r="F82">
        <v>-663.68</v>
      </c>
      <c r="G82" t="s">
        <v>56</v>
      </c>
      <c r="H82" t="s">
        <v>65</v>
      </c>
      <c r="I82" t="s">
        <v>77</v>
      </c>
      <c r="K82" t="s">
        <v>138</v>
      </c>
      <c r="L82" t="s">
        <v>100</v>
      </c>
      <c r="M82" t="s">
        <v>101</v>
      </c>
      <c r="N82" s="3">
        <v>45897</v>
      </c>
      <c r="O82">
        <v>-663.68</v>
      </c>
      <c r="P82" t="s">
        <v>56</v>
      </c>
      <c r="Q82" t="s">
        <v>65</v>
      </c>
      <c r="R82" t="s">
        <v>77</v>
      </c>
      <c r="T82" t="s">
        <v>138</v>
      </c>
      <c r="U82" t="s">
        <v>87</v>
      </c>
      <c r="V82" t="b">
        <v>1</v>
      </c>
      <c r="W82">
        <v>0</v>
      </c>
      <c r="X82">
        <v>0</v>
      </c>
      <c r="Y82" t="s">
        <v>14</v>
      </c>
    </row>
    <row r="83" spans="1:25">
      <c r="A83" t="s">
        <v>189</v>
      </c>
      <c r="B83" t="s">
        <v>189</v>
      </c>
      <c r="C83" t="s">
        <v>92</v>
      </c>
      <c r="D83" t="s">
        <v>93</v>
      </c>
      <c r="E83" s="3">
        <v>45866</v>
      </c>
      <c r="F83">
        <v>-723.59</v>
      </c>
      <c r="G83" t="s">
        <v>56</v>
      </c>
      <c r="H83" t="s">
        <v>65</v>
      </c>
      <c r="I83" t="s">
        <v>58</v>
      </c>
      <c r="L83" t="s">
        <v>94</v>
      </c>
      <c r="M83" t="s">
        <v>95</v>
      </c>
      <c r="N83" s="3">
        <v>45869</v>
      </c>
      <c r="O83">
        <v>-719.22</v>
      </c>
      <c r="P83" t="s">
        <v>56</v>
      </c>
      <c r="Q83" t="s">
        <v>65</v>
      </c>
      <c r="R83" t="s">
        <v>58</v>
      </c>
      <c r="U83" t="s">
        <v>92</v>
      </c>
      <c r="V83" t="b">
        <v>1</v>
      </c>
      <c r="W83">
        <v>-4.37</v>
      </c>
      <c r="X83">
        <v>-3</v>
      </c>
      <c r="Y83" t="s">
        <v>17</v>
      </c>
    </row>
    <row r="84" spans="1:25">
      <c r="A84" t="s">
        <v>190</v>
      </c>
      <c r="B84" t="s">
        <v>190</v>
      </c>
      <c r="C84" t="s">
        <v>92</v>
      </c>
      <c r="D84" t="s">
        <v>93</v>
      </c>
      <c r="E84" s="3">
        <v>45897</v>
      </c>
      <c r="F84">
        <v>603.88</v>
      </c>
      <c r="G84" t="s">
        <v>56</v>
      </c>
      <c r="H84" t="s">
        <v>65</v>
      </c>
      <c r="I84" t="s">
        <v>58</v>
      </c>
      <c r="K84" t="s">
        <v>105</v>
      </c>
      <c r="L84" t="s">
        <v>125</v>
      </c>
      <c r="M84" t="s">
        <v>126</v>
      </c>
      <c r="N84" s="3">
        <v>45897</v>
      </c>
      <c r="O84">
        <v>603.17999999999995</v>
      </c>
      <c r="P84" t="s">
        <v>56</v>
      </c>
      <c r="Q84" t="s">
        <v>65</v>
      </c>
      <c r="R84" t="s">
        <v>58</v>
      </c>
      <c r="T84" t="s">
        <v>105</v>
      </c>
      <c r="U84" t="s">
        <v>92</v>
      </c>
      <c r="V84" t="b">
        <v>1</v>
      </c>
      <c r="W84">
        <v>0.7</v>
      </c>
      <c r="X84">
        <v>0</v>
      </c>
      <c r="Y84" t="s">
        <v>15</v>
      </c>
    </row>
    <row r="85" spans="1:25">
      <c r="A85" t="s">
        <v>191</v>
      </c>
      <c r="B85" t="s">
        <v>191</v>
      </c>
      <c r="C85" t="s">
        <v>119</v>
      </c>
      <c r="D85" t="s">
        <v>120</v>
      </c>
      <c r="E85" s="3">
        <v>45908</v>
      </c>
      <c r="F85">
        <v>269.11</v>
      </c>
      <c r="G85" t="s">
        <v>56</v>
      </c>
      <c r="H85" t="s">
        <v>65</v>
      </c>
      <c r="I85" t="s">
        <v>58</v>
      </c>
      <c r="J85" t="s">
        <v>66</v>
      </c>
      <c r="K85" t="s">
        <v>107</v>
      </c>
      <c r="L85" t="s">
        <v>121</v>
      </c>
      <c r="M85" t="s">
        <v>122</v>
      </c>
      <c r="N85" s="3">
        <v>45908</v>
      </c>
      <c r="O85">
        <v>269.11</v>
      </c>
      <c r="P85" t="s">
        <v>56</v>
      </c>
      <c r="Q85" t="s">
        <v>65</v>
      </c>
      <c r="R85" t="s">
        <v>58</v>
      </c>
      <c r="S85" t="s">
        <v>66</v>
      </c>
      <c r="T85" t="s">
        <v>107</v>
      </c>
      <c r="U85" t="s">
        <v>119</v>
      </c>
      <c r="V85" t="b">
        <v>1</v>
      </c>
      <c r="W85">
        <v>0</v>
      </c>
      <c r="X85">
        <v>0</v>
      </c>
      <c r="Y85" t="s">
        <v>14</v>
      </c>
    </row>
    <row r="86" spans="1:25">
      <c r="A86" t="s">
        <v>192</v>
      </c>
      <c r="B86" t="s">
        <v>192</v>
      </c>
      <c r="C86" t="s">
        <v>150</v>
      </c>
      <c r="D86" t="s">
        <v>151</v>
      </c>
      <c r="E86" s="3">
        <v>45897</v>
      </c>
      <c r="F86">
        <v>-450.99</v>
      </c>
      <c r="G86" t="s">
        <v>56</v>
      </c>
      <c r="H86" t="s">
        <v>57</v>
      </c>
      <c r="I86" t="s">
        <v>77</v>
      </c>
      <c r="K86" t="s">
        <v>67</v>
      </c>
      <c r="L86" t="s">
        <v>152</v>
      </c>
      <c r="M86" t="s">
        <v>153</v>
      </c>
      <c r="N86" s="3">
        <v>45897</v>
      </c>
      <c r="O86">
        <v>-450.99</v>
      </c>
      <c r="P86" t="s">
        <v>56</v>
      </c>
      <c r="Q86" t="s">
        <v>57</v>
      </c>
      <c r="R86" t="s">
        <v>77</v>
      </c>
      <c r="T86" t="s">
        <v>67</v>
      </c>
      <c r="U86" t="s">
        <v>150</v>
      </c>
      <c r="V86" t="b">
        <v>1</v>
      </c>
      <c r="W86">
        <v>0</v>
      </c>
      <c r="X86">
        <v>0</v>
      </c>
      <c r="Y86" t="s">
        <v>14</v>
      </c>
    </row>
    <row r="87" spans="1:25">
      <c r="A87" t="s">
        <v>193</v>
      </c>
      <c r="B87" t="s">
        <v>193</v>
      </c>
      <c r="C87" t="s">
        <v>92</v>
      </c>
      <c r="D87" t="s">
        <v>93</v>
      </c>
      <c r="E87" s="3">
        <v>45860</v>
      </c>
      <c r="F87">
        <v>352.31</v>
      </c>
      <c r="G87" t="s">
        <v>56</v>
      </c>
      <c r="H87" t="s">
        <v>65</v>
      </c>
      <c r="I87" t="s">
        <v>77</v>
      </c>
      <c r="J87" t="s">
        <v>99</v>
      </c>
      <c r="K87" t="s">
        <v>107</v>
      </c>
      <c r="L87" t="s">
        <v>125</v>
      </c>
      <c r="M87" t="s">
        <v>126</v>
      </c>
      <c r="N87" s="3">
        <v>45860</v>
      </c>
      <c r="O87">
        <v>352.31</v>
      </c>
      <c r="P87" t="s">
        <v>56</v>
      </c>
      <c r="Q87" t="s">
        <v>65</v>
      </c>
      <c r="R87" t="s">
        <v>77</v>
      </c>
      <c r="S87" t="s">
        <v>99</v>
      </c>
      <c r="T87" t="s">
        <v>107</v>
      </c>
      <c r="U87" t="s">
        <v>92</v>
      </c>
      <c r="V87" t="b">
        <v>1</v>
      </c>
      <c r="W87">
        <v>0</v>
      </c>
      <c r="X87">
        <v>0</v>
      </c>
      <c r="Y87" t="s">
        <v>14</v>
      </c>
    </row>
    <row r="88" spans="1:25">
      <c r="A88" t="s">
        <v>194</v>
      </c>
      <c r="B88" t="s">
        <v>194</v>
      </c>
      <c r="C88" t="s">
        <v>92</v>
      </c>
      <c r="D88" t="s">
        <v>93</v>
      </c>
      <c r="E88" s="3">
        <v>45908</v>
      </c>
      <c r="F88">
        <v>-425.07</v>
      </c>
      <c r="G88" t="s">
        <v>56</v>
      </c>
      <c r="H88" t="s">
        <v>57</v>
      </c>
      <c r="I88" t="s">
        <v>58</v>
      </c>
      <c r="J88" t="s">
        <v>109</v>
      </c>
      <c r="K88" t="s">
        <v>105</v>
      </c>
      <c r="L88" t="s">
        <v>94</v>
      </c>
      <c r="M88" t="s">
        <v>95</v>
      </c>
      <c r="N88" s="3">
        <v>45908</v>
      </c>
      <c r="O88">
        <v>-425.07</v>
      </c>
      <c r="P88" t="s">
        <v>56</v>
      </c>
      <c r="Q88" t="s">
        <v>57</v>
      </c>
      <c r="R88" t="s">
        <v>58</v>
      </c>
      <c r="S88" t="s">
        <v>109</v>
      </c>
      <c r="T88" t="s">
        <v>105</v>
      </c>
      <c r="U88" t="s">
        <v>92</v>
      </c>
      <c r="V88" t="b">
        <v>1</v>
      </c>
      <c r="W88">
        <v>0</v>
      </c>
      <c r="X88">
        <v>0</v>
      </c>
      <c r="Y88" t="s">
        <v>14</v>
      </c>
    </row>
    <row r="89" spans="1:25">
      <c r="A89" t="s">
        <v>195</v>
      </c>
      <c r="B89" t="s">
        <v>195</v>
      </c>
      <c r="C89" t="s">
        <v>92</v>
      </c>
      <c r="D89" t="s">
        <v>93</v>
      </c>
      <c r="E89" s="3">
        <v>45873</v>
      </c>
      <c r="F89">
        <v>824.22</v>
      </c>
      <c r="G89" t="s">
        <v>56</v>
      </c>
      <c r="H89" t="s">
        <v>80</v>
      </c>
      <c r="I89" t="s">
        <v>97</v>
      </c>
      <c r="J89" t="s">
        <v>109</v>
      </c>
      <c r="L89" t="s">
        <v>94</v>
      </c>
      <c r="M89" t="s">
        <v>95</v>
      </c>
      <c r="N89" s="3">
        <v>45873</v>
      </c>
      <c r="O89">
        <v>824.22</v>
      </c>
      <c r="P89" t="s">
        <v>56</v>
      </c>
      <c r="Q89" t="s">
        <v>80</v>
      </c>
      <c r="R89" t="s">
        <v>97</v>
      </c>
      <c r="S89" t="s">
        <v>109</v>
      </c>
      <c r="U89" t="s">
        <v>92</v>
      </c>
      <c r="V89" t="b">
        <v>1</v>
      </c>
      <c r="W89">
        <v>0</v>
      </c>
      <c r="X89">
        <v>0</v>
      </c>
      <c r="Y89" t="s">
        <v>14</v>
      </c>
    </row>
    <row r="90" spans="1:25">
      <c r="A90" t="s">
        <v>196</v>
      </c>
      <c r="B90" t="s">
        <v>196</v>
      </c>
      <c r="C90" t="s">
        <v>87</v>
      </c>
      <c r="D90" t="s">
        <v>88</v>
      </c>
      <c r="E90" s="3">
        <v>45871</v>
      </c>
      <c r="F90">
        <v>882.39</v>
      </c>
      <c r="G90" t="s">
        <v>56</v>
      </c>
      <c r="H90" t="s">
        <v>73</v>
      </c>
      <c r="I90" t="s">
        <v>77</v>
      </c>
      <c r="K90" t="s">
        <v>67</v>
      </c>
      <c r="L90" t="s">
        <v>89</v>
      </c>
      <c r="M90" t="s">
        <v>90</v>
      </c>
      <c r="N90" s="3">
        <v>45871</v>
      </c>
      <c r="O90">
        <v>882.39</v>
      </c>
      <c r="P90" t="s">
        <v>56</v>
      </c>
      <c r="Q90" t="s">
        <v>73</v>
      </c>
      <c r="R90" t="s">
        <v>77</v>
      </c>
      <c r="T90" t="s">
        <v>67</v>
      </c>
      <c r="U90" t="s">
        <v>87</v>
      </c>
      <c r="V90" t="b">
        <v>1</v>
      </c>
      <c r="W90">
        <v>0</v>
      </c>
      <c r="X90">
        <v>0</v>
      </c>
      <c r="Y90" t="s">
        <v>14</v>
      </c>
    </row>
    <row r="91" spans="1:25">
      <c r="A91" t="s">
        <v>197</v>
      </c>
      <c r="B91" t="s">
        <v>197</v>
      </c>
      <c r="C91" t="s">
        <v>63</v>
      </c>
      <c r="D91" t="s">
        <v>64</v>
      </c>
      <c r="E91" s="3">
        <v>45887</v>
      </c>
      <c r="F91">
        <v>667.35</v>
      </c>
      <c r="G91" t="s">
        <v>56</v>
      </c>
      <c r="H91" t="s">
        <v>80</v>
      </c>
      <c r="I91" t="s">
        <v>58</v>
      </c>
      <c r="J91" t="s">
        <v>85</v>
      </c>
      <c r="K91" t="s">
        <v>105</v>
      </c>
      <c r="L91" t="s">
        <v>68</v>
      </c>
      <c r="M91" t="s">
        <v>69</v>
      </c>
      <c r="N91" s="3">
        <v>45887</v>
      </c>
      <c r="O91">
        <v>667.35</v>
      </c>
      <c r="P91" t="s">
        <v>56</v>
      </c>
      <c r="Q91" t="s">
        <v>80</v>
      </c>
      <c r="R91" t="s">
        <v>58</v>
      </c>
      <c r="S91" t="s">
        <v>85</v>
      </c>
      <c r="T91" t="s">
        <v>105</v>
      </c>
      <c r="U91" t="s">
        <v>63</v>
      </c>
      <c r="V91" t="b">
        <v>1</v>
      </c>
      <c r="W91">
        <v>0</v>
      </c>
      <c r="X91">
        <v>0</v>
      </c>
      <c r="Y91" t="s">
        <v>14</v>
      </c>
    </row>
    <row r="92" spans="1:25">
      <c r="A92" t="s">
        <v>198</v>
      </c>
      <c r="B92" t="s">
        <v>198</v>
      </c>
      <c r="C92" t="s">
        <v>87</v>
      </c>
      <c r="D92" t="s">
        <v>88</v>
      </c>
      <c r="E92" s="3">
        <v>45861</v>
      </c>
      <c r="F92">
        <v>637.19000000000005</v>
      </c>
      <c r="G92" t="s">
        <v>56</v>
      </c>
      <c r="H92" t="s">
        <v>80</v>
      </c>
      <c r="I92" t="s">
        <v>103</v>
      </c>
      <c r="J92" t="s">
        <v>109</v>
      </c>
      <c r="K92" t="s">
        <v>105</v>
      </c>
      <c r="L92" t="s">
        <v>89</v>
      </c>
      <c r="M92" t="s">
        <v>90</v>
      </c>
      <c r="N92" s="3">
        <v>45863</v>
      </c>
      <c r="O92">
        <v>637.54999999999995</v>
      </c>
      <c r="P92" t="s">
        <v>56</v>
      </c>
      <c r="Q92" t="s">
        <v>80</v>
      </c>
      <c r="R92" t="s">
        <v>103</v>
      </c>
      <c r="S92" t="s">
        <v>109</v>
      </c>
      <c r="T92" t="s">
        <v>105</v>
      </c>
      <c r="U92" t="s">
        <v>87</v>
      </c>
      <c r="V92" t="b">
        <v>1</v>
      </c>
      <c r="W92">
        <v>-0.36</v>
      </c>
      <c r="X92">
        <v>-2</v>
      </c>
      <c r="Y92" t="s">
        <v>15</v>
      </c>
    </row>
    <row r="93" spans="1:25">
      <c r="A93" t="s">
        <v>199</v>
      </c>
      <c r="B93" t="s">
        <v>199</v>
      </c>
      <c r="C93" t="s">
        <v>87</v>
      </c>
      <c r="D93" t="s">
        <v>88</v>
      </c>
      <c r="E93" s="3">
        <v>45896</v>
      </c>
      <c r="F93">
        <v>669.16</v>
      </c>
      <c r="G93" t="s">
        <v>56</v>
      </c>
      <c r="H93" t="s">
        <v>57</v>
      </c>
      <c r="I93" t="s">
        <v>77</v>
      </c>
      <c r="J93" t="s">
        <v>66</v>
      </c>
      <c r="K93" t="s">
        <v>67</v>
      </c>
      <c r="L93" t="s">
        <v>100</v>
      </c>
      <c r="M93" t="s">
        <v>101</v>
      </c>
      <c r="N93" s="3">
        <v>45896</v>
      </c>
      <c r="O93">
        <v>669.16</v>
      </c>
      <c r="P93" t="s">
        <v>56</v>
      </c>
      <c r="Q93" t="s">
        <v>57</v>
      </c>
      <c r="R93" t="s">
        <v>77</v>
      </c>
      <c r="S93" t="s">
        <v>66</v>
      </c>
      <c r="T93" t="s">
        <v>67</v>
      </c>
      <c r="U93" t="s">
        <v>87</v>
      </c>
      <c r="V93" t="b">
        <v>1</v>
      </c>
      <c r="W93">
        <v>0</v>
      </c>
      <c r="X93">
        <v>0</v>
      </c>
      <c r="Y93" t="s">
        <v>14</v>
      </c>
    </row>
    <row r="94" spans="1:25">
      <c r="A94" t="s">
        <v>200</v>
      </c>
      <c r="B94" t="s">
        <v>200</v>
      </c>
      <c r="C94" t="s">
        <v>87</v>
      </c>
      <c r="D94" t="s">
        <v>88</v>
      </c>
      <c r="E94" s="3">
        <v>45900</v>
      </c>
      <c r="F94">
        <v>-496.94</v>
      </c>
      <c r="G94" t="s">
        <v>56</v>
      </c>
      <c r="H94" t="s">
        <v>65</v>
      </c>
      <c r="I94" t="s">
        <v>77</v>
      </c>
      <c r="J94" t="s">
        <v>99</v>
      </c>
      <c r="K94" t="s">
        <v>105</v>
      </c>
      <c r="L94" t="s">
        <v>100</v>
      </c>
      <c r="M94" t="s">
        <v>101</v>
      </c>
      <c r="N94" s="3">
        <v>45899</v>
      </c>
      <c r="O94">
        <v>-496.97</v>
      </c>
      <c r="P94" t="s">
        <v>56</v>
      </c>
      <c r="Q94" t="s">
        <v>65</v>
      </c>
      <c r="R94" t="s">
        <v>77</v>
      </c>
      <c r="S94" t="s">
        <v>99</v>
      </c>
      <c r="T94" t="s">
        <v>105</v>
      </c>
      <c r="U94" t="s">
        <v>87</v>
      </c>
      <c r="V94" t="b">
        <v>1</v>
      </c>
      <c r="W94">
        <v>0.03</v>
      </c>
      <c r="X94">
        <v>1</v>
      </c>
      <c r="Y94" t="s">
        <v>15</v>
      </c>
    </row>
    <row r="95" spans="1:25">
      <c r="A95" t="s">
        <v>201</v>
      </c>
      <c r="B95" t="s">
        <v>201</v>
      </c>
      <c r="C95" t="s">
        <v>92</v>
      </c>
      <c r="D95" t="s">
        <v>93</v>
      </c>
      <c r="E95" s="3">
        <v>45875</v>
      </c>
      <c r="F95">
        <v>481.08</v>
      </c>
      <c r="G95" t="s">
        <v>56</v>
      </c>
      <c r="H95" t="s">
        <v>73</v>
      </c>
      <c r="I95" t="s">
        <v>58</v>
      </c>
      <c r="J95" t="s">
        <v>85</v>
      </c>
      <c r="K95" t="s">
        <v>78</v>
      </c>
      <c r="L95" t="s">
        <v>125</v>
      </c>
      <c r="M95" t="s">
        <v>126</v>
      </c>
      <c r="N95" s="3">
        <v>45877</v>
      </c>
      <c r="O95">
        <v>480.1</v>
      </c>
      <c r="P95" t="s">
        <v>56</v>
      </c>
      <c r="Q95" t="s">
        <v>73</v>
      </c>
      <c r="R95" t="s">
        <v>58</v>
      </c>
      <c r="S95" t="s">
        <v>85</v>
      </c>
      <c r="T95" t="s">
        <v>78</v>
      </c>
      <c r="U95" t="s">
        <v>92</v>
      </c>
      <c r="V95" t="b">
        <v>1</v>
      </c>
      <c r="W95">
        <v>0.98</v>
      </c>
      <c r="X95">
        <v>-2</v>
      </c>
      <c r="Y95" t="s">
        <v>15</v>
      </c>
    </row>
    <row r="96" spans="1:25">
      <c r="A96" t="s">
        <v>202</v>
      </c>
      <c r="B96" t="s">
        <v>202</v>
      </c>
      <c r="C96" t="s">
        <v>87</v>
      </c>
      <c r="D96" t="s">
        <v>88</v>
      </c>
      <c r="E96" s="3">
        <v>45862</v>
      </c>
      <c r="F96">
        <v>331.59</v>
      </c>
      <c r="G96" t="s">
        <v>56</v>
      </c>
      <c r="H96" t="s">
        <v>57</v>
      </c>
      <c r="I96" t="s">
        <v>103</v>
      </c>
      <c r="J96" t="s">
        <v>117</v>
      </c>
      <c r="K96" t="s">
        <v>107</v>
      </c>
      <c r="L96" t="s">
        <v>100</v>
      </c>
      <c r="M96" t="s">
        <v>101</v>
      </c>
      <c r="N96" s="3">
        <v>45860</v>
      </c>
      <c r="O96">
        <v>344.27</v>
      </c>
      <c r="P96" t="s">
        <v>56</v>
      </c>
      <c r="Q96" t="s">
        <v>57</v>
      </c>
      <c r="R96" t="s">
        <v>103</v>
      </c>
      <c r="S96" t="s">
        <v>117</v>
      </c>
      <c r="T96" t="s">
        <v>107</v>
      </c>
      <c r="U96" t="s">
        <v>87</v>
      </c>
      <c r="V96" t="b">
        <v>1</v>
      </c>
      <c r="W96">
        <v>-12.68</v>
      </c>
      <c r="X96">
        <v>2</v>
      </c>
      <c r="Y96" t="s">
        <v>17</v>
      </c>
    </row>
    <row r="97" spans="1:25">
      <c r="A97" t="s">
        <v>203</v>
      </c>
      <c r="B97" t="s">
        <v>203</v>
      </c>
      <c r="C97" t="s">
        <v>92</v>
      </c>
      <c r="D97" t="s">
        <v>93</v>
      </c>
      <c r="E97" s="3">
        <v>45885</v>
      </c>
      <c r="F97">
        <v>486.03</v>
      </c>
      <c r="G97" t="s">
        <v>56</v>
      </c>
      <c r="H97" t="s">
        <v>73</v>
      </c>
      <c r="I97" t="s">
        <v>97</v>
      </c>
      <c r="J97" t="s">
        <v>81</v>
      </c>
      <c r="K97" t="s">
        <v>107</v>
      </c>
      <c r="L97" t="s">
        <v>125</v>
      </c>
      <c r="M97" t="s">
        <v>126</v>
      </c>
      <c r="N97" s="3">
        <v>45885</v>
      </c>
      <c r="O97">
        <v>486.03</v>
      </c>
      <c r="P97" t="s">
        <v>56</v>
      </c>
      <c r="Q97" t="s">
        <v>73</v>
      </c>
      <c r="R97" t="s">
        <v>97</v>
      </c>
      <c r="S97" t="s">
        <v>81</v>
      </c>
      <c r="T97" t="s">
        <v>107</v>
      </c>
      <c r="U97" t="s">
        <v>92</v>
      </c>
      <c r="V97" t="b">
        <v>1</v>
      </c>
      <c r="W97">
        <v>0</v>
      </c>
      <c r="X97">
        <v>0</v>
      </c>
      <c r="Y97" t="s">
        <v>14</v>
      </c>
    </row>
    <row r="98" spans="1:25">
      <c r="A98" t="s">
        <v>204</v>
      </c>
      <c r="B98" t="s">
        <v>204</v>
      </c>
      <c r="C98" t="s">
        <v>119</v>
      </c>
      <c r="D98" t="s">
        <v>120</v>
      </c>
      <c r="E98" s="3">
        <v>45862</v>
      </c>
      <c r="F98">
        <v>-1064.99</v>
      </c>
      <c r="G98" t="s">
        <v>56</v>
      </c>
      <c r="H98" t="s">
        <v>80</v>
      </c>
      <c r="I98" t="s">
        <v>103</v>
      </c>
      <c r="J98" t="s">
        <v>81</v>
      </c>
      <c r="K98" t="s">
        <v>59</v>
      </c>
      <c r="L98" t="s">
        <v>121</v>
      </c>
      <c r="M98" t="s">
        <v>122</v>
      </c>
      <c r="N98" s="3">
        <v>45862</v>
      </c>
      <c r="O98">
        <v>-1064.99</v>
      </c>
      <c r="P98" t="s">
        <v>56</v>
      </c>
      <c r="Q98" t="s">
        <v>80</v>
      </c>
      <c r="R98" t="s">
        <v>103</v>
      </c>
      <c r="S98" t="s">
        <v>81</v>
      </c>
      <c r="T98" t="s">
        <v>59</v>
      </c>
      <c r="U98" t="s">
        <v>119</v>
      </c>
      <c r="V98" t="b">
        <v>1</v>
      </c>
      <c r="W98">
        <v>0</v>
      </c>
      <c r="X98">
        <v>0</v>
      </c>
      <c r="Y98" t="s">
        <v>14</v>
      </c>
    </row>
    <row r="99" spans="1:25">
      <c r="A99" t="s">
        <v>205</v>
      </c>
      <c r="B99" t="s">
        <v>205</v>
      </c>
      <c r="C99" t="s">
        <v>92</v>
      </c>
      <c r="D99" t="s">
        <v>93</v>
      </c>
      <c r="E99" s="3">
        <v>45874</v>
      </c>
      <c r="F99">
        <v>717.26</v>
      </c>
      <c r="G99" t="s">
        <v>56</v>
      </c>
      <c r="H99" t="s">
        <v>80</v>
      </c>
      <c r="I99" t="s">
        <v>97</v>
      </c>
      <c r="J99" t="s">
        <v>117</v>
      </c>
      <c r="K99" t="s">
        <v>67</v>
      </c>
      <c r="L99" t="s">
        <v>125</v>
      </c>
      <c r="M99" t="s">
        <v>126</v>
      </c>
      <c r="N99" s="3">
        <v>45874</v>
      </c>
      <c r="O99">
        <v>717.26</v>
      </c>
      <c r="P99" t="s">
        <v>56</v>
      </c>
      <c r="Q99" t="s">
        <v>80</v>
      </c>
      <c r="R99" t="s">
        <v>97</v>
      </c>
      <c r="S99" t="s">
        <v>117</v>
      </c>
      <c r="T99" t="s">
        <v>67</v>
      </c>
      <c r="U99" t="s">
        <v>92</v>
      </c>
      <c r="V99" t="b">
        <v>1</v>
      </c>
      <c r="W99">
        <v>0</v>
      </c>
      <c r="X99">
        <v>0</v>
      </c>
      <c r="Y99" t="s">
        <v>14</v>
      </c>
    </row>
    <row r="100" spans="1:25">
      <c r="A100" t="s">
        <v>206</v>
      </c>
      <c r="B100" t="s">
        <v>206</v>
      </c>
      <c r="C100" t="s">
        <v>71</v>
      </c>
      <c r="D100" t="s">
        <v>72</v>
      </c>
      <c r="E100" s="3">
        <v>45858</v>
      </c>
      <c r="F100">
        <v>-414.47</v>
      </c>
      <c r="G100" t="s">
        <v>56</v>
      </c>
      <c r="H100" t="s">
        <v>73</v>
      </c>
      <c r="I100" t="s">
        <v>77</v>
      </c>
      <c r="J100" t="s">
        <v>117</v>
      </c>
      <c r="K100" t="s">
        <v>138</v>
      </c>
      <c r="L100" t="s">
        <v>74</v>
      </c>
      <c r="M100" t="s">
        <v>75</v>
      </c>
      <c r="N100" s="3">
        <v>45861</v>
      </c>
      <c r="O100">
        <v>-403.37</v>
      </c>
      <c r="P100" t="s">
        <v>56</v>
      </c>
      <c r="Q100" t="s">
        <v>73</v>
      </c>
      <c r="R100" t="s">
        <v>77</v>
      </c>
      <c r="S100" t="s">
        <v>117</v>
      </c>
      <c r="T100" t="s">
        <v>138</v>
      </c>
      <c r="U100" t="s">
        <v>71</v>
      </c>
      <c r="V100" t="b">
        <v>1</v>
      </c>
      <c r="W100">
        <v>-11.1</v>
      </c>
      <c r="X100">
        <v>-3</v>
      </c>
      <c r="Y100" t="s">
        <v>17</v>
      </c>
    </row>
    <row r="101" spans="1:25">
      <c r="A101" t="s">
        <v>207</v>
      </c>
      <c r="B101" t="s">
        <v>207</v>
      </c>
      <c r="C101" t="s">
        <v>150</v>
      </c>
      <c r="D101" t="s">
        <v>151</v>
      </c>
      <c r="E101" s="3">
        <v>45883</v>
      </c>
      <c r="F101">
        <v>-382.02</v>
      </c>
      <c r="G101" t="s">
        <v>56</v>
      </c>
      <c r="H101" t="s">
        <v>80</v>
      </c>
      <c r="I101" t="s">
        <v>58</v>
      </c>
      <c r="K101" t="s">
        <v>138</v>
      </c>
      <c r="L101" t="s">
        <v>152</v>
      </c>
      <c r="M101" t="s">
        <v>153</v>
      </c>
      <c r="N101" s="3">
        <v>45883</v>
      </c>
      <c r="O101">
        <v>-382.02</v>
      </c>
      <c r="P101" t="s">
        <v>56</v>
      </c>
      <c r="Q101" t="s">
        <v>80</v>
      </c>
      <c r="R101" t="s">
        <v>58</v>
      </c>
      <c r="T101" t="s">
        <v>138</v>
      </c>
      <c r="U101" t="s">
        <v>150</v>
      </c>
      <c r="V101" t="b">
        <v>1</v>
      </c>
      <c r="W101">
        <v>0</v>
      </c>
      <c r="X101">
        <v>0</v>
      </c>
      <c r="Y101" t="s">
        <v>14</v>
      </c>
    </row>
    <row r="102" spans="1:25">
      <c r="A102" t="s">
        <v>208</v>
      </c>
      <c r="B102" t="s">
        <v>208</v>
      </c>
      <c r="C102" t="s">
        <v>63</v>
      </c>
      <c r="D102" t="s">
        <v>64</v>
      </c>
      <c r="E102" s="3">
        <v>45877</v>
      </c>
      <c r="F102">
        <v>283.88</v>
      </c>
      <c r="G102" t="s">
        <v>56</v>
      </c>
      <c r="H102" t="s">
        <v>73</v>
      </c>
      <c r="I102" t="s">
        <v>58</v>
      </c>
      <c r="J102" t="s">
        <v>81</v>
      </c>
      <c r="K102" t="s">
        <v>105</v>
      </c>
      <c r="L102" t="s">
        <v>82</v>
      </c>
      <c r="M102" t="s">
        <v>83</v>
      </c>
      <c r="N102" s="3">
        <v>45877</v>
      </c>
      <c r="O102">
        <v>283.88</v>
      </c>
      <c r="P102" t="s">
        <v>56</v>
      </c>
      <c r="Q102" t="s">
        <v>73</v>
      </c>
      <c r="R102" t="s">
        <v>58</v>
      </c>
      <c r="S102" t="s">
        <v>81</v>
      </c>
      <c r="T102" t="s">
        <v>105</v>
      </c>
      <c r="U102" t="s">
        <v>63</v>
      </c>
      <c r="V102" t="b">
        <v>1</v>
      </c>
      <c r="W102">
        <v>0</v>
      </c>
      <c r="X102">
        <v>0</v>
      </c>
      <c r="Y102" t="s">
        <v>14</v>
      </c>
    </row>
    <row r="103" spans="1:25">
      <c r="A103" t="s">
        <v>209</v>
      </c>
      <c r="B103" t="s">
        <v>209</v>
      </c>
      <c r="C103" t="s">
        <v>63</v>
      </c>
      <c r="D103" t="s">
        <v>64</v>
      </c>
      <c r="E103" s="3">
        <v>45914</v>
      </c>
      <c r="F103">
        <v>593.59</v>
      </c>
      <c r="G103" t="s">
        <v>56</v>
      </c>
      <c r="H103" t="s">
        <v>80</v>
      </c>
      <c r="I103" t="s">
        <v>103</v>
      </c>
      <c r="J103" t="s">
        <v>66</v>
      </c>
      <c r="K103" t="s">
        <v>67</v>
      </c>
      <c r="L103" t="s">
        <v>82</v>
      </c>
      <c r="M103" t="s">
        <v>83</v>
      </c>
      <c r="N103" s="3">
        <v>45914</v>
      </c>
      <c r="O103">
        <v>593.59</v>
      </c>
      <c r="P103" t="s">
        <v>56</v>
      </c>
      <c r="Q103" t="s">
        <v>80</v>
      </c>
      <c r="R103" t="s">
        <v>103</v>
      </c>
      <c r="S103" t="s">
        <v>66</v>
      </c>
      <c r="T103" t="s">
        <v>67</v>
      </c>
      <c r="U103" t="s">
        <v>63</v>
      </c>
      <c r="V103" t="b">
        <v>1</v>
      </c>
      <c r="W103">
        <v>0</v>
      </c>
      <c r="X103">
        <v>0</v>
      </c>
      <c r="Y103" t="s">
        <v>14</v>
      </c>
    </row>
    <row r="104" spans="1:25">
      <c r="A104" t="s">
        <v>210</v>
      </c>
      <c r="B104" t="s">
        <v>210</v>
      </c>
      <c r="C104" t="s">
        <v>71</v>
      </c>
      <c r="D104" t="s">
        <v>72</v>
      </c>
      <c r="E104" s="3">
        <v>45912</v>
      </c>
      <c r="F104">
        <v>597.89</v>
      </c>
      <c r="G104" t="s">
        <v>56</v>
      </c>
      <c r="H104" t="s">
        <v>80</v>
      </c>
      <c r="I104" t="s">
        <v>77</v>
      </c>
      <c r="K104" t="s">
        <v>138</v>
      </c>
      <c r="L104" t="s">
        <v>74</v>
      </c>
      <c r="M104" t="s">
        <v>75</v>
      </c>
      <c r="N104" s="3">
        <v>45911</v>
      </c>
      <c r="O104">
        <v>604.92999999999995</v>
      </c>
      <c r="P104" t="s">
        <v>56</v>
      </c>
      <c r="Q104" t="s">
        <v>80</v>
      </c>
      <c r="R104" t="s">
        <v>77</v>
      </c>
      <c r="T104" t="s">
        <v>138</v>
      </c>
      <c r="U104" t="s">
        <v>71</v>
      </c>
      <c r="V104" t="b">
        <v>1</v>
      </c>
      <c r="W104">
        <v>-7.04</v>
      </c>
      <c r="X104">
        <v>1</v>
      </c>
      <c r="Y104" t="s">
        <v>17</v>
      </c>
    </row>
    <row r="105" spans="1:25">
      <c r="A105" t="s">
        <v>211</v>
      </c>
      <c r="B105" t="s">
        <v>211</v>
      </c>
      <c r="C105" t="s">
        <v>63</v>
      </c>
      <c r="D105" t="s">
        <v>64</v>
      </c>
      <c r="E105" s="3">
        <v>45874</v>
      </c>
      <c r="F105">
        <v>-139.22</v>
      </c>
      <c r="G105" t="s">
        <v>56</v>
      </c>
      <c r="H105" t="s">
        <v>80</v>
      </c>
      <c r="I105" t="s">
        <v>97</v>
      </c>
      <c r="J105" t="s">
        <v>81</v>
      </c>
      <c r="K105" t="s">
        <v>138</v>
      </c>
      <c r="L105" t="s">
        <v>82</v>
      </c>
      <c r="M105" t="s">
        <v>83</v>
      </c>
      <c r="N105" s="3">
        <v>45874</v>
      </c>
      <c r="O105">
        <v>-139.22</v>
      </c>
      <c r="P105" t="s">
        <v>56</v>
      </c>
      <c r="Q105" t="s">
        <v>80</v>
      </c>
      <c r="R105" t="s">
        <v>97</v>
      </c>
      <c r="S105" t="s">
        <v>81</v>
      </c>
      <c r="T105" t="s">
        <v>138</v>
      </c>
      <c r="U105" t="s">
        <v>63</v>
      </c>
      <c r="V105" t="b">
        <v>1</v>
      </c>
      <c r="W105">
        <v>0</v>
      </c>
      <c r="X105">
        <v>0</v>
      </c>
      <c r="Y105" t="s">
        <v>14</v>
      </c>
    </row>
    <row r="106" spans="1:25">
      <c r="A106" t="s">
        <v>212</v>
      </c>
      <c r="B106" t="s">
        <v>212</v>
      </c>
      <c r="C106" t="s">
        <v>71</v>
      </c>
      <c r="D106" t="s">
        <v>72</v>
      </c>
      <c r="E106" s="3">
        <v>45889</v>
      </c>
      <c r="F106">
        <v>-621.58000000000004</v>
      </c>
      <c r="G106" t="s">
        <v>56</v>
      </c>
      <c r="H106" t="s">
        <v>80</v>
      </c>
      <c r="I106" t="s">
        <v>77</v>
      </c>
      <c r="J106" t="s">
        <v>66</v>
      </c>
      <c r="L106" t="s">
        <v>74</v>
      </c>
      <c r="M106" t="s">
        <v>75</v>
      </c>
      <c r="N106" s="3">
        <v>45890</v>
      </c>
      <c r="O106">
        <v>-614.62</v>
      </c>
      <c r="P106" t="s">
        <v>56</v>
      </c>
      <c r="Q106" t="s">
        <v>80</v>
      </c>
      <c r="R106" t="s">
        <v>77</v>
      </c>
      <c r="S106" t="s">
        <v>66</v>
      </c>
      <c r="U106" t="s">
        <v>71</v>
      </c>
      <c r="V106" t="b">
        <v>1</v>
      </c>
      <c r="W106">
        <v>-6.96</v>
      </c>
      <c r="X106">
        <v>-1</v>
      </c>
      <c r="Y106" t="s">
        <v>17</v>
      </c>
    </row>
    <row r="107" spans="1:25">
      <c r="A107" t="s">
        <v>213</v>
      </c>
      <c r="B107" t="s">
        <v>213</v>
      </c>
      <c r="C107" t="s">
        <v>71</v>
      </c>
      <c r="D107" t="s">
        <v>72</v>
      </c>
      <c r="E107" s="3">
        <v>45915</v>
      </c>
      <c r="F107">
        <v>357.63</v>
      </c>
      <c r="G107" t="s">
        <v>56</v>
      </c>
      <c r="H107" t="s">
        <v>65</v>
      </c>
      <c r="I107" t="s">
        <v>58</v>
      </c>
      <c r="J107" t="s">
        <v>66</v>
      </c>
      <c r="K107" t="s">
        <v>105</v>
      </c>
      <c r="L107" t="s">
        <v>74</v>
      </c>
      <c r="M107" t="s">
        <v>75</v>
      </c>
      <c r="N107" s="3">
        <v>45915</v>
      </c>
      <c r="O107">
        <v>357.63</v>
      </c>
      <c r="P107" t="s">
        <v>56</v>
      </c>
      <c r="Q107" t="s">
        <v>65</v>
      </c>
      <c r="R107" t="s">
        <v>58</v>
      </c>
      <c r="S107" t="s">
        <v>66</v>
      </c>
      <c r="T107" t="s">
        <v>105</v>
      </c>
      <c r="U107" t="s">
        <v>71</v>
      </c>
      <c r="V107" t="b">
        <v>1</v>
      </c>
      <c r="W107">
        <v>0</v>
      </c>
      <c r="X107">
        <v>0</v>
      </c>
      <c r="Y107" t="s">
        <v>14</v>
      </c>
    </row>
    <row r="108" spans="1:25">
      <c r="A108" t="s">
        <v>214</v>
      </c>
      <c r="B108" t="s">
        <v>214</v>
      </c>
      <c r="C108" t="s">
        <v>71</v>
      </c>
      <c r="D108" t="s">
        <v>72</v>
      </c>
      <c r="E108" s="3">
        <v>45885</v>
      </c>
      <c r="F108">
        <v>856.68</v>
      </c>
      <c r="G108" t="s">
        <v>56</v>
      </c>
      <c r="H108" t="s">
        <v>65</v>
      </c>
      <c r="I108" t="s">
        <v>103</v>
      </c>
      <c r="J108" t="s">
        <v>117</v>
      </c>
      <c r="K108" t="s">
        <v>107</v>
      </c>
      <c r="L108" t="s">
        <v>74</v>
      </c>
      <c r="M108" t="s">
        <v>75</v>
      </c>
      <c r="N108" s="3">
        <v>45885</v>
      </c>
      <c r="O108">
        <v>856.68</v>
      </c>
      <c r="P108" t="s">
        <v>56</v>
      </c>
      <c r="Q108" t="s">
        <v>65</v>
      </c>
      <c r="R108" t="s">
        <v>103</v>
      </c>
      <c r="S108" t="s">
        <v>117</v>
      </c>
      <c r="T108" t="s">
        <v>107</v>
      </c>
      <c r="U108" t="s">
        <v>71</v>
      </c>
      <c r="V108" t="b">
        <v>1</v>
      </c>
      <c r="W108">
        <v>0</v>
      </c>
      <c r="X108">
        <v>0</v>
      </c>
      <c r="Y108" t="s">
        <v>14</v>
      </c>
    </row>
    <row r="109" spans="1:25">
      <c r="A109" t="s">
        <v>215</v>
      </c>
      <c r="B109" t="s">
        <v>215</v>
      </c>
      <c r="C109" t="s">
        <v>92</v>
      </c>
      <c r="D109" t="s">
        <v>93</v>
      </c>
      <c r="E109" s="3">
        <v>45865</v>
      </c>
      <c r="F109">
        <v>-539.21</v>
      </c>
      <c r="G109" t="s">
        <v>56</v>
      </c>
      <c r="H109" t="s">
        <v>73</v>
      </c>
      <c r="I109" t="s">
        <v>103</v>
      </c>
      <c r="J109" t="s">
        <v>99</v>
      </c>
      <c r="K109" t="s">
        <v>138</v>
      </c>
      <c r="L109" t="s">
        <v>125</v>
      </c>
      <c r="M109" t="s">
        <v>126</v>
      </c>
      <c r="N109" s="3">
        <v>45865</v>
      </c>
      <c r="O109">
        <v>-539.21</v>
      </c>
      <c r="P109" t="s">
        <v>56</v>
      </c>
      <c r="Q109" t="s">
        <v>73</v>
      </c>
      <c r="R109" t="s">
        <v>103</v>
      </c>
      <c r="S109" t="s">
        <v>99</v>
      </c>
      <c r="T109" t="s">
        <v>138</v>
      </c>
      <c r="U109" t="s">
        <v>92</v>
      </c>
      <c r="V109" t="b">
        <v>1</v>
      </c>
      <c r="W109">
        <v>0</v>
      </c>
      <c r="X109">
        <v>0</v>
      </c>
      <c r="Y109" t="s">
        <v>14</v>
      </c>
    </row>
    <row r="110" spans="1:25">
      <c r="A110" t="s">
        <v>216</v>
      </c>
      <c r="B110" t="s">
        <v>216</v>
      </c>
      <c r="C110" t="s">
        <v>87</v>
      </c>
      <c r="D110" t="s">
        <v>88</v>
      </c>
      <c r="E110" s="3">
        <v>45904</v>
      </c>
      <c r="F110">
        <v>929.43</v>
      </c>
      <c r="G110" t="s">
        <v>56</v>
      </c>
      <c r="H110" t="s">
        <v>80</v>
      </c>
      <c r="I110" t="s">
        <v>77</v>
      </c>
      <c r="J110" t="s">
        <v>109</v>
      </c>
      <c r="K110" t="s">
        <v>78</v>
      </c>
      <c r="L110" t="s">
        <v>100</v>
      </c>
      <c r="M110" t="s">
        <v>101</v>
      </c>
      <c r="N110" s="3">
        <v>45905</v>
      </c>
      <c r="O110">
        <v>938.36</v>
      </c>
      <c r="P110" t="s">
        <v>56</v>
      </c>
      <c r="Q110" t="s">
        <v>80</v>
      </c>
      <c r="R110" t="s">
        <v>77</v>
      </c>
      <c r="S110" t="s">
        <v>109</v>
      </c>
      <c r="T110" t="s">
        <v>78</v>
      </c>
      <c r="U110" t="s">
        <v>87</v>
      </c>
      <c r="V110" t="b">
        <v>1</v>
      </c>
      <c r="W110">
        <v>-8.93</v>
      </c>
      <c r="X110">
        <v>-1</v>
      </c>
      <c r="Y110" t="s">
        <v>17</v>
      </c>
    </row>
    <row r="111" spans="1:25">
      <c r="A111" t="s">
        <v>217</v>
      </c>
      <c r="B111" t="s">
        <v>217</v>
      </c>
      <c r="C111" t="s">
        <v>87</v>
      </c>
      <c r="D111" t="s">
        <v>88</v>
      </c>
      <c r="E111" s="3">
        <v>45887</v>
      </c>
      <c r="F111">
        <v>385.47</v>
      </c>
      <c r="G111" t="s">
        <v>56</v>
      </c>
      <c r="H111" t="s">
        <v>73</v>
      </c>
      <c r="I111" t="s">
        <v>58</v>
      </c>
      <c r="J111" t="s">
        <v>81</v>
      </c>
      <c r="K111" t="s">
        <v>105</v>
      </c>
      <c r="L111" t="s">
        <v>100</v>
      </c>
      <c r="M111" t="s">
        <v>101</v>
      </c>
      <c r="N111" s="3">
        <v>45889</v>
      </c>
      <c r="O111">
        <v>385.06</v>
      </c>
      <c r="P111" t="s">
        <v>56</v>
      </c>
      <c r="Q111" t="s">
        <v>73</v>
      </c>
      <c r="R111" t="s">
        <v>58</v>
      </c>
      <c r="S111" t="s">
        <v>81</v>
      </c>
      <c r="T111" t="s">
        <v>105</v>
      </c>
      <c r="U111" t="s">
        <v>87</v>
      </c>
      <c r="V111" t="b">
        <v>1</v>
      </c>
      <c r="W111">
        <v>0.41</v>
      </c>
      <c r="X111">
        <v>-2</v>
      </c>
      <c r="Y111" t="s">
        <v>15</v>
      </c>
    </row>
    <row r="112" spans="1:25">
      <c r="A112" t="s">
        <v>218</v>
      </c>
      <c r="B112" t="s">
        <v>218</v>
      </c>
      <c r="C112" t="s">
        <v>150</v>
      </c>
      <c r="D112" t="s">
        <v>151</v>
      </c>
      <c r="E112" s="3">
        <v>45861</v>
      </c>
      <c r="F112">
        <v>-428</v>
      </c>
      <c r="G112" t="s">
        <v>56</v>
      </c>
      <c r="H112" t="s">
        <v>73</v>
      </c>
      <c r="I112" t="s">
        <v>97</v>
      </c>
      <c r="J112" t="s">
        <v>117</v>
      </c>
      <c r="K112" t="s">
        <v>138</v>
      </c>
      <c r="L112" t="s">
        <v>152</v>
      </c>
      <c r="M112" t="s">
        <v>153</v>
      </c>
      <c r="N112" s="3">
        <v>45861</v>
      </c>
      <c r="O112">
        <v>-428</v>
      </c>
      <c r="P112" t="s">
        <v>56</v>
      </c>
      <c r="Q112" t="s">
        <v>73</v>
      </c>
      <c r="R112" t="s">
        <v>97</v>
      </c>
      <c r="S112" t="s">
        <v>117</v>
      </c>
      <c r="T112" t="s">
        <v>138</v>
      </c>
      <c r="U112" t="s">
        <v>150</v>
      </c>
      <c r="V112" t="b">
        <v>1</v>
      </c>
      <c r="W112">
        <v>0</v>
      </c>
      <c r="X112">
        <v>0</v>
      </c>
      <c r="Y112" t="s">
        <v>14</v>
      </c>
    </row>
    <row r="113" spans="1:25">
      <c r="A113" t="s">
        <v>219</v>
      </c>
      <c r="B113" t="s">
        <v>219</v>
      </c>
      <c r="C113" t="s">
        <v>92</v>
      </c>
      <c r="D113" t="s">
        <v>93</v>
      </c>
      <c r="E113" s="3">
        <v>45884</v>
      </c>
      <c r="F113">
        <v>-574.95000000000005</v>
      </c>
      <c r="G113" t="s">
        <v>56</v>
      </c>
      <c r="H113" t="s">
        <v>65</v>
      </c>
      <c r="I113" t="s">
        <v>97</v>
      </c>
      <c r="J113" t="s">
        <v>66</v>
      </c>
      <c r="K113" t="s">
        <v>78</v>
      </c>
      <c r="L113" t="s">
        <v>94</v>
      </c>
      <c r="M113" t="s">
        <v>95</v>
      </c>
      <c r="N113" s="3">
        <v>45884</v>
      </c>
      <c r="O113">
        <v>-574.95000000000005</v>
      </c>
      <c r="P113" t="s">
        <v>56</v>
      </c>
      <c r="Q113" t="s">
        <v>65</v>
      </c>
      <c r="R113" t="s">
        <v>97</v>
      </c>
      <c r="S113" t="s">
        <v>66</v>
      </c>
      <c r="T113" t="s">
        <v>78</v>
      </c>
      <c r="U113" t="s">
        <v>92</v>
      </c>
      <c r="V113" t="b">
        <v>1</v>
      </c>
      <c r="W113">
        <v>0</v>
      </c>
      <c r="X113">
        <v>0</v>
      </c>
      <c r="Y113" t="s">
        <v>14</v>
      </c>
    </row>
    <row r="114" spans="1:25">
      <c r="A114" t="s">
        <v>220</v>
      </c>
      <c r="B114" t="s">
        <v>220</v>
      </c>
      <c r="C114" t="s">
        <v>54</v>
      </c>
      <c r="D114" t="s">
        <v>55</v>
      </c>
      <c r="E114" s="3">
        <v>45892</v>
      </c>
      <c r="F114">
        <v>-763.99</v>
      </c>
      <c r="G114" t="s">
        <v>56</v>
      </c>
      <c r="H114" t="s">
        <v>65</v>
      </c>
      <c r="I114" t="s">
        <v>103</v>
      </c>
      <c r="J114" t="s">
        <v>99</v>
      </c>
      <c r="L114" t="s">
        <v>60</v>
      </c>
      <c r="M114" t="s">
        <v>61</v>
      </c>
      <c r="N114" s="3">
        <v>45892</v>
      </c>
      <c r="O114">
        <v>-764.8</v>
      </c>
      <c r="P114" t="s">
        <v>56</v>
      </c>
      <c r="Q114" t="s">
        <v>65</v>
      </c>
      <c r="R114" t="s">
        <v>103</v>
      </c>
      <c r="S114" t="s">
        <v>99</v>
      </c>
      <c r="U114" t="s">
        <v>54</v>
      </c>
      <c r="V114" t="b">
        <v>1</v>
      </c>
      <c r="W114">
        <v>0.81</v>
      </c>
      <c r="X114">
        <v>0</v>
      </c>
      <c r="Y114" t="s">
        <v>15</v>
      </c>
    </row>
    <row r="115" spans="1:25">
      <c r="A115" t="s">
        <v>221</v>
      </c>
      <c r="B115" t="s">
        <v>221</v>
      </c>
      <c r="C115" t="s">
        <v>119</v>
      </c>
      <c r="D115" t="s">
        <v>120</v>
      </c>
      <c r="E115" s="3">
        <v>45869</v>
      </c>
      <c r="F115">
        <v>641.47</v>
      </c>
      <c r="G115" t="s">
        <v>56</v>
      </c>
      <c r="H115" t="s">
        <v>73</v>
      </c>
      <c r="I115" t="s">
        <v>77</v>
      </c>
      <c r="J115" t="s">
        <v>117</v>
      </c>
      <c r="K115" t="s">
        <v>105</v>
      </c>
      <c r="L115" t="s">
        <v>121</v>
      </c>
      <c r="M115" t="s">
        <v>122</v>
      </c>
      <c r="N115" s="3">
        <v>45869</v>
      </c>
      <c r="O115">
        <v>641.47</v>
      </c>
      <c r="P115" t="s">
        <v>56</v>
      </c>
      <c r="Q115" t="s">
        <v>73</v>
      </c>
      <c r="R115" t="s">
        <v>77</v>
      </c>
      <c r="S115" t="s">
        <v>117</v>
      </c>
      <c r="T115" t="s">
        <v>105</v>
      </c>
      <c r="U115" t="s">
        <v>119</v>
      </c>
      <c r="V115" t="b">
        <v>1</v>
      </c>
      <c r="W115">
        <v>0</v>
      </c>
      <c r="X115">
        <v>0</v>
      </c>
      <c r="Y115" t="s">
        <v>14</v>
      </c>
    </row>
    <row r="116" spans="1:25">
      <c r="A116" t="s">
        <v>222</v>
      </c>
      <c r="B116" t="s">
        <v>222</v>
      </c>
      <c r="C116" t="s">
        <v>92</v>
      </c>
      <c r="D116" t="s">
        <v>93</v>
      </c>
      <c r="E116" s="3">
        <v>45870</v>
      </c>
      <c r="F116">
        <v>-191.62</v>
      </c>
      <c r="G116" t="s">
        <v>56</v>
      </c>
      <c r="H116" t="s">
        <v>80</v>
      </c>
      <c r="I116" t="s">
        <v>58</v>
      </c>
      <c r="J116" t="s">
        <v>117</v>
      </c>
      <c r="K116" t="s">
        <v>138</v>
      </c>
      <c r="L116" t="s">
        <v>125</v>
      </c>
      <c r="M116" t="s">
        <v>126</v>
      </c>
      <c r="N116" s="3">
        <v>45870</v>
      </c>
      <c r="O116">
        <v>-191.62</v>
      </c>
      <c r="P116" t="s">
        <v>56</v>
      </c>
      <c r="Q116" t="s">
        <v>80</v>
      </c>
      <c r="R116" t="s">
        <v>58</v>
      </c>
      <c r="S116" t="s">
        <v>117</v>
      </c>
      <c r="T116" t="s">
        <v>138</v>
      </c>
      <c r="U116" t="s">
        <v>92</v>
      </c>
      <c r="V116" t="b">
        <v>1</v>
      </c>
      <c r="W116">
        <v>0</v>
      </c>
      <c r="X116">
        <v>0</v>
      </c>
      <c r="Y116" t="s">
        <v>14</v>
      </c>
    </row>
    <row r="117" spans="1:25">
      <c r="A117" t="s">
        <v>223</v>
      </c>
      <c r="B117" t="s">
        <v>223</v>
      </c>
      <c r="C117" t="s">
        <v>119</v>
      </c>
      <c r="D117" t="s">
        <v>120</v>
      </c>
      <c r="E117" s="3">
        <v>45880</v>
      </c>
      <c r="F117">
        <v>-545.73</v>
      </c>
      <c r="G117" t="s">
        <v>56</v>
      </c>
      <c r="H117" t="s">
        <v>65</v>
      </c>
      <c r="I117" t="s">
        <v>58</v>
      </c>
      <c r="J117" t="s">
        <v>99</v>
      </c>
      <c r="K117" t="s">
        <v>78</v>
      </c>
      <c r="L117" t="s">
        <v>121</v>
      </c>
      <c r="M117" t="s">
        <v>122</v>
      </c>
      <c r="N117" s="3">
        <v>45880</v>
      </c>
      <c r="O117">
        <v>-545.73</v>
      </c>
      <c r="P117" t="s">
        <v>56</v>
      </c>
      <c r="Q117" t="s">
        <v>65</v>
      </c>
      <c r="R117" t="s">
        <v>58</v>
      </c>
      <c r="S117" t="s">
        <v>99</v>
      </c>
      <c r="T117" t="s">
        <v>78</v>
      </c>
      <c r="U117" t="s">
        <v>119</v>
      </c>
      <c r="V117" t="b">
        <v>1</v>
      </c>
      <c r="W117">
        <v>0</v>
      </c>
      <c r="X117">
        <v>0</v>
      </c>
      <c r="Y117" t="s">
        <v>14</v>
      </c>
    </row>
    <row r="118" spans="1:25">
      <c r="A118" t="s">
        <v>224</v>
      </c>
      <c r="B118" t="s">
        <v>224</v>
      </c>
      <c r="C118" t="s">
        <v>71</v>
      </c>
      <c r="D118" t="s">
        <v>72</v>
      </c>
      <c r="E118" s="3">
        <v>45882</v>
      </c>
      <c r="F118">
        <v>505.56</v>
      </c>
      <c r="G118" t="s">
        <v>56</v>
      </c>
      <c r="H118" t="s">
        <v>73</v>
      </c>
      <c r="I118" t="s">
        <v>103</v>
      </c>
      <c r="L118" t="s">
        <v>74</v>
      </c>
      <c r="M118" t="s">
        <v>75</v>
      </c>
      <c r="N118" s="3">
        <v>45881</v>
      </c>
      <c r="O118">
        <v>505.75</v>
      </c>
      <c r="P118" t="s">
        <v>56</v>
      </c>
      <c r="Q118" t="s">
        <v>73</v>
      </c>
      <c r="R118" t="s">
        <v>103</v>
      </c>
      <c r="U118" t="s">
        <v>71</v>
      </c>
      <c r="V118" t="b">
        <v>1</v>
      </c>
      <c r="W118">
        <v>-0.19</v>
      </c>
      <c r="X118">
        <v>1</v>
      </c>
      <c r="Y118" t="s">
        <v>15</v>
      </c>
    </row>
    <row r="119" spans="1:25">
      <c r="A119" t="s">
        <v>225</v>
      </c>
      <c r="B119" t="s">
        <v>225</v>
      </c>
      <c r="C119" t="s">
        <v>63</v>
      </c>
      <c r="D119" t="s">
        <v>64</v>
      </c>
      <c r="E119" s="3">
        <v>45865</v>
      </c>
      <c r="F119">
        <v>-392.73</v>
      </c>
      <c r="G119" t="s">
        <v>56</v>
      </c>
      <c r="H119" t="s">
        <v>73</v>
      </c>
      <c r="I119" t="s">
        <v>77</v>
      </c>
      <c r="J119" t="s">
        <v>66</v>
      </c>
      <c r="K119" t="s">
        <v>107</v>
      </c>
      <c r="L119" t="s">
        <v>82</v>
      </c>
      <c r="M119" t="s">
        <v>83</v>
      </c>
      <c r="N119" s="3">
        <v>45865</v>
      </c>
      <c r="O119">
        <v>-392.73</v>
      </c>
      <c r="P119" t="s">
        <v>56</v>
      </c>
      <c r="Q119" t="s">
        <v>73</v>
      </c>
      <c r="R119" t="s">
        <v>77</v>
      </c>
      <c r="S119" t="s">
        <v>66</v>
      </c>
      <c r="T119" t="s">
        <v>107</v>
      </c>
      <c r="U119" t="s">
        <v>63</v>
      </c>
      <c r="V119" t="b">
        <v>1</v>
      </c>
      <c r="W119">
        <v>0</v>
      </c>
      <c r="X119">
        <v>0</v>
      </c>
      <c r="Y119" t="s">
        <v>14</v>
      </c>
    </row>
    <row r="120" spans="1:25">
      <c r="A120" t="s">
        <v>226</v>
      </c>
      <c r="B120" t="s">
        <v>226</v>
      </c>
      <c r="C120" t="s">
        <v>71</v>
      </c>
      <c r="D120" t="s">
        <v>72</v>
      </c>
      <c r="E120" s="3">
        <v>45916</v>
      </c>
      <c r="F120">
        <v>337.97</v>
      </c>
      <c r="G120" t="s">
        <v>56</v>
      </c>
      <c r="H120" t="s">
        <v>73</v>
      </c>
      <c r="I120" t="s">
        <v>77</v>
      </c>
      <c r="J120" t="s">
        <v>81</v>
      </c>
      <c r="L120" t="s">
        <v>74</v>
      </c>
      <c r="M120" t="s">
        <v>75</v>
      </c>
      <c r="N120" s="3">
        <v>45916</v>
      </c>
      <c r="O120">
        <v>337.97</v>
      </c>
      <c r="P120" t="s">
        <v>56</v>
      </c>
      <c r="Q120" t="s">
        <v>73</v>
      </c>
      <c r="R120" t="s">
        <v>77</v>
      </c>
      <c r="S120" t="s">
        <v>81</v>
      </c>
      <c r="U120" t="s">
        <v>71</v>
      </c>
      <c r="V120" t="b">
        <v>1</v>
      </c>
      <c r="W120">
        <v>0</v>
      </c>
      <c r="X120">
        <v>0</v>
      </c>
      <c r="Y120" t="s">
        <v>14</v>
      </c>
    </row>
    <row r="121" spans="1:25">
      <c r="A121" t="s">
        <v>227</v>
      </c>
      <c r="B121" t="s">
        <v>227</v>
      </c>
      <c r="C121" t="s">
        <v>63</v>
      </c>
      <c r="D121" t="s">
        <v>64</v>
      </c>
      <c r="E121" s="3">
        <v>45871</v>
      </c>
      <c r="F121">
        <v>-936.89</v>
      </c>
      <c r="G121" t="s">
        <v>56</v>
      </c>
      <c r="H121" t="s">
        <v>57</v>
      </c>
      <c r="I121" t="s">
        <v>77</v>
      </c>
      <c r="J121" t="s">
        <v>66</v>
      </c>
      <c r="K121" t="s">
        <v>59</v>
      </c>
      <c r="L121" t="s">
        <v>68</v>
      </c>
      <c r="M121" t="s">
        <v>69</v>
      </c>
      <c r="N121" s="3">
        <v>45871</v>
      </c>
      <c r="O121">
        <v>-936.89</v>
      </c>
      <c r="P121" t="s">
        <v>56</v>
      </c>
      <c r="Q121" t="s">
        <v>57</v>
      </c>
      <c r="R121" t="s">
        <v>77</v>
      </c>
      <c r="S121" t="s">
        <v>66</v>
      </c>
      <c r="T121" t="s">
        <v>59</v>
      </c>
      <c r="U121" t="s">
        <v>63</v>
      </c>
      <c r="V121" t="b">
        <v>1</v>
      </c>
      <c r="W121">
        <v>0</v>
      </c>
      <c r="X121">
        <v>0</v>
      </c>
      <c r="Y121" t="s">
        <v>14</v>
      </c>
    </row>
    <row r="122" spans="1:25">
      <c r="A122" t="s">
        <v>228</v>
      </c>
      <c r="B122" t="s">
        <v>228</v>
      </c>
      <c r="C122" t="s">
        <v>63</v>
      </c>
      <c r="D122" t="s">
        <v>64</v>
      </c>
      <c r="E122" s="3">
        <v>45857</v>
      </c>
      <c r="F122">
        <v>402.4</v>
      </c>
      <c r="G122" t="s">
        <v>56</v>
      </c>
      <c r="H122" t="s">
        <v>65</v>
      </c>
      <c r="I122" t="s">
        <v>58</v>
      </c>
      <c r="J122" t="s">
        <v>109</v>
      </c>
      <c r="K122" t="s">
        <v>105</v>
      </c>
      <c r="L122" t="s">
        <v>82</v>
      </c>
      <c r="M122" t="s">
        <v>83</v>
      </c>
      <c r="N122" s="3">
        <v>45857</v>
      </c>
      <c r="O122">
        <v>402.4</v>
      </c>
      <c r="P122" t="s">
        <v>56</v>
      </c>
      <c r="Q122" t="s">
        <v>65</v>
      </c>
      <c r="R122" t="s">
        <v>58</v>
      </c>
      <c r="S122" t="s">
        <v>109</v>
      </c>
      <c r="T122" t="s">
        <v>105</v>
      </c>
      <c r="U122" t="s">
        <v>63</v>
      </c>
      <c r="V122" t="b">
        <v>1</v>
      </c>
      <c r="W122">
        <v>0</v>
      </c>
      <c r="X122">
        <v>0</v>
      </c>
      <c r="Y122" t="s">
        <v>14</v>
      </c>
    </row>
    <row r="123" spans="1:25">
      <c r="A123" t="s">
        <v>229</v>
      </c>
      <c r="B123" t="s">
        <v>229</v>
      </c>
      <c r="C123" t="s">
        <v>87</v>
      </c>
      <c r="D123" t="s">
        <v>88</v>
      </c>
      <c r="E123" s="3">
        <v>45865</v>
      </c>
      <c r="F123">
        <v>288.52</v>
      </c>
      <c r="G123" t="s">
        <v>56</v>
      </c>
      <c r="H123" t="s">
        <v>73</v>
      </c>
      <c r="I123" t="s">
        <v>58</v>
      </c>
      <c r="J123" t="s">
        <v>66</v>
      </c>
      <c r="K123" t="s">
        <v>107</v>
      </c>
      <c r="L123" t="s">
        <v>100</v>
      </c>
      <c r="M123" t="s">
        <v>101</v>
      </c>
      <c r="N123" s="3">
        <v>45865</v>
      </c>
      <c r="O123">
        <v>288.52</v>
      </c>
      <c r="P123" t="s">
        <v>56</v>
      </c>
      <c r="Q123" t="s">
        <v>73</v>
      </c>
      <c r="R123" t="s">
        <v>58</v>
      </c>
      <c r="S123" t="s">
        <v>66</v>
      </c>
      <c r="T123" t="s">
        <v>107</v>
      </c>
      <c r="U123" t="s">
        <v>87</v>
      </c>
      <c r="V123" t="b">
        <v>1</v>
      </c>
      <c r="W123">
        <v>0</v>
      </c>
      <c r="X123">
        <v>0</v>
      </c>
      <c r="Y123" t="s">
        <v>14</v>
      </c>
    </row>
    <row r="124" spans="1:25">
      <c r="A124" t="s">
        <v>230</v>
      </c>
      <c r="B124" t="s">
        <v>230</v>
      </c>
      <c r="C124" t="s">
        <v>87</v>
      </c>
      <c r="D124" t="s">
        <v>88</v>
      </c>
      <c r="E124" s="3">
        <v>45890</v>
      </c>
      <c r="F124">
        <v>659.28</v>
      </c>
      <c r="G124" t="s">
        <v>56</v>
      </c>
      <c r="H124" t="s">
        <v>65</v>
      </c>
      <c r="I124" t="s">
        <v>77</v>
      </c>
      <c r="J124" t="s">
        <v>99</v>
      </c>
      <c r="K124" t="s">
        <v>78</v>
      </c>
      <c r="L124" t="s">
        <v>100</v>
      </c>
      <c r="M124" t="s">
        <v>101</v>
      </c>
      <c r="N124" s="3">
        <v>45890</v>
      </c>
      <c r="O124">
        <v>659.28</v>
      </c>
      <c r="P124" t="s">
        <v>56</v>
      </c>
      <c r="Q124" t="s">
        <v>65</v>
      </c>
      <c r="R124" t="s">
        <v>77</v>
      </c>
      <c r="S124" t="s">
        <v>99</v>
      </c>
      <c r="T124" t="s">
        <v>78</v>
      </c>
      <c r="U124" t="s">
        <v>87</v>
      </c>
      <c r="V124" t="b">
        <v>1</v>
      </c>
      <c r="W124">
        <v>0</v>
      </c>
      <c r="X124">
        <v>0</v>
      </c>
      <c r="Y124" t="s">
        <v>14</v>
      </c>
    </row>
    <row r="125" spans="1:25">
      <c r="A125" t="s">
        <v>231</v>
      </c>
      <c r="B125" t="s">
        <v>231</v>
      </c>
      <c r="C125" t="s">
        <v>119</v>
      </c>
      <c r="D125" t="s">
        <v>120</v>
      </c>
      <c r="E125" s="3">
        <v>45857</v>
      </c>
      <c r="F125">
        <v>-532.66</v>
      </c>
      <c r="G125" t="s">
        <v>56</v>
      </c>
      <c r="H125" t="s">
        <v>80</v>
      </c>
      <c r="I125" t="s">
        <v>77</v>
      </c>
      <c r="J125" t="s">
        <v>99</v>
      </c>
      <c r="K125" t="s">
        <v>138</v>
      </c>
      <c r="L125" t="s">
        <v>121</v>
      </c>
      <c r="M125" t="s">
        <v>122</v>
      </c>
      <c r="N125" s="3">
        <v>45856</v>
      </c>
      <c r="O125">
        <v>-533.52</v>
      </c>
      <c r="P125" t="s">
        <v>56</v>
      </c>
      <c r="Q125" t="s">
        <v>80</v>
      </c>
      <c r="R125" t="s">
        <v>77</v>
      </c>
      <c r="S125" t="s">
        <v>99</v>
      </c>
      <c r="T125" t="s">
        <v>138</v>
      </c>
      <c r="U125" t="s">
        <v>119</v>
      </c>
      <c r="V125" t="b">
        <v>1</v>
      </c>
      <c r="W125">
        <v>0.86</v>
      </c>
      <c r="X125">
        <v>1</v>
      </c>
      <c r="Y125" t="s">
        <v>15</v>
      </c>
    </row>
    <row r="126" spans="1:25">
      <c r="A126" t="s">
        <v>232</v>
      </c>
      <c r="B126" t="s">
        <v>232</v>
      </c>
      <c r="C126" t="s">
        <v>87</v>
      </c>
      <c r="D126" t="s">
        <v>88</v>
      </c>
      <c r="E126" s="3">
        <v>45887</v>
      </c>
      <c r="F126">
        <v>481.05</v>
      </c>
      <c r="G126" t="s">
        <v>56</v>
      </c>
      <c r="H126" t="s">
        <v>65</v>
      </c>
      <c r="I126" t="s">
        <v>58</v>
      </c>
      <c r="J126" t="s">
        <v>117</v>
      </c>
      <c r="K126" t="s">
        <v>105</v>
      </c>
      <c r="L126" t="s">
        <v>89</v>
      </c>
      <c r="M126" t="s">
        <v>90</v>
      </c>
      <c r="N126" s="3">
        <v>45887</v>
      </c>
      <c r="O126">
        <v>481.05</v>
      </c>
      <c r="P126" t="s">
        <v>56</v>
      </c>
      <c r="Q126" t="s">
        <v>65</v>
      </c>
      <c r="R126" t="s">
        <v>58</v>
      </c>
      <c r="S126" t="s">
        <v>117</v>
      </c>
      <c r="T126" t="s">
        <v>105</v>
      </c>
      <c r="U126" t="s">
        <v>87</v>
      </c>
      <c r="V126" t="b">
        <v>1</v>
      </c>
      <c r="W126">
        <v>0</v>
      </c>
      <c r="X126">
        <v>0</v>
      </c>
      <c r="Y126" t="s">
        <v>14</v>
      </c>
    </row>
    <row r="127" spans="1:25">
      <c r="A127" t="s">
        <v>233</v>
      </c>
      <c r="B127" t="s">
        <v>233</v>
      </c>
      <c r="C127" t="s">
        <v>87</v>
      </c>
      <c r="D127" t="s">
        <v>88</v>
      </c>
      <c r="E127" s="3">
        <v>45860</v>
      </c>
      <c r="F127">
        <v>-695.33</v>
      </c>
      <c r="G127" t="s">
        <v>56</v>
      </c>
      <c r="H127" t="s">
        <v>73</v>
      </c>
      <c r="I127" t="s">
        <v>77</v>
      </c>
      <c r="J127" t="s">
        <v>66</v>
      </c>
      <c r="K127" t="s">
        <v>138</v>
      </c>
      <c r="L127" t="s">
        <v>100</v>
      </c>
      <c r="M127" t="s">
        <v>101</v>
      </c>
      <c r="N127" s="3">
        <v>45858</v>
      </c>
      <c r="O127">
        <v>-685.77</v>
      </c>
      <c r="P127" t="s">
        <v>56</v>
      </c>
      <c r="Q127" t="s">
        <v>73</v>
      </c>
      <c r="R127" t="s">
        <v>77</v>
      </c>
      <c r="S127" t="s">
        <v>66</v>
      </c>
      <c r="T127" t="s">
        <v>138</v>
      </c>
      <c r="U127" t="s">
        <v>87</v>
      </c>
      <c r="V127" t="b">
        <v>1</v>
      </c>
      <c r="W127">
        <v>-9.56</v>
      </c>
      <c r="X127">
        <v>2</v>
      </c>
      <c r="Y127" t="s">
        <v>17</v>
      </c>
    </row>
    <row r="128" spans="1:25">
      <c r="A128" t="s">
        <v>234</v>
      </c>
      <c r="B128" t="s">
        <v>234</v>
      </c>
      <c r="C128" t="s">
        <v>87</v>
      </c>
      <c r="D128" t="s">
        <v>88</v>
      </c>
      <c r="E128" s="3">
        <v>45899</v>
      </c>
      <c r="F128">
        <v>622.16</v>
      </c>
      <c r="G128" t="s">
        <v>56</v>
      </c>
      <c r="H128" t="s">
        <v>80</v>
      </c>
      <c r="I128" t="s">
        <v>97</v>
      </c>
      <c r="J128" t="s">
        <v>117</v>
      </c>
      <c r="K128" t="s">
        <v>107</v>
      </c>
      <c r="L128" t="s">
        <v>89</v>
      </c>
      <c r="M128" t="s">
        <v>90</v>
      </c>
      <c r="N128" s="3">
        <v>45899</v>
      </c>
      <c r="O128">
        <v>622.16</v>
      </c>
      <c r="P128" t="s">
        <v>56</v>
      </c>
      <c r="Q128" t="s">
        <v>80</v>
      </c>
      <c r="R128" t="s">
        <v>97</v>
      </c>
      <c r="S128" t="s">
        <v>117</v>
      </c>
      <c r="T128" t="s">
        <v>107</v>
      </c>
      <c r="U128" t="s">
        <v>87</v>
      </c>
      <c r="V128" t="b">
        <v>1</v>
      </c>
      <c r="W128">
        <v>0</v>
      </c>
      <c r="X128">
        <v>0</v>
      </c>
      <c r="Y128" t="s">
        <v>14</v>
      </c>
    </row>
    <row r="129" spans="1:25">
      <c r="A129" t="s">
        <v>235</v>
      </c>
      <c r="B129" t="s">
        <v>235</v>
      </c>
      <c r="C129" t="s">
        <v>54</v>
      </c>
      <c r="D129" t="s">
        <v>55</v>
      </c>
      <c r="E129" s="3">
        <v>45902</v>
      </c>
      <c r="F129">
        <v>590.54999999999995</v>
      </c>
      <c r="G129" t="s">
        <v>56</v>
      </c>
      <c r="H129" t="s">
        <v>73</v>
      </c>
      <c r="I129" t="s">
        <v>97</v>
      </c>
      <c r="J129" t="s">
        <v>66</v>
      </c>
      <c r="L129" t="s">
        <v>60</v>
      </c>
      <c r="M129" t="s">
        <v>61</v>
      </c>
      <c r="N129" s="3">
        <v>45901</v>
      </c>
      <c r="O129">
        <v>589.69000000000005</v>
      </c>
      <c r="P129" t="s">
        <v>56</v>
      </c>
      <c r="Q129" t="s">
        <v>73</v>
      </c>
      <c r="R129" t="s">
        <v>97</v>
      </c>
      <c r="S129" t="s">
        <v>66</v>
      </c>
      <c r="U129" t="s">
        <v>54</v>
      </c>
      <c r="V129" t="b">
        <v>1</v>
      </c>
      <c r="W129">
        <v>0.86</v>
      </c>
      <c r="X129">
        <v>1</v>
      </c>
      <c r="Y129" t="s">
        <v>15</v>
      </c>
    </row>
    <row r="130" spans="1:25">
      <c r="A130" t="s">
        <v>236</v>
      </c>
      <c r="B130" t="s">
        <v>236</v>
      </c>
      <c r="C130" t="s">
        <v>87</v>
      </c>
      <c r="D130" t="s">
        <v>88</v>
      </c>
      <c r="E130" s="3">
        <v>45904</v>
      </c>
      <c r="F130">
        <v>741.05</v>
      </c>
      <c r="G130" t="s">
        <v>56</v>
      </c>
      <c r="H130" t="s">
        <v>57</v>
      </c>
      <c r="I130" t="s">
        <v>97</v>
      </c>
      <c r="J130" t="s">
        <v>117</v>
      </c>
      <c r="K130" t="s">
        <v>78</v>
      </c>
      <c r="L130" t="s">
        <v>100</v>
      </c>
      <c r="M130" t="s">
        <v>101</v>
      </c>
      <c r="N130" s="3">
        <v>45905</v>
      </c>
      <c r="O130">
        <v>748.65</v>
      </c>
      <c r="P130" t="s">
        <v>56</v>
      </c>
      <c r="Q130" t="s">
        <v>57</v>
      </c>
      <c r="R130" t="s">
        <v>97</v>
      </c>
      <c r="S130" t="s">
        <v>117</v>
      </c>
      <c r="T130" t="s">
        <v>78</v>
      </c>
      <c r="U130" t="s">
        <v>87</v>
      </c>
      <c r="V130" t="b">
        <v>1</v>
      </c>
      <c r="W130">
        <v>-7.6</v>
      </c>
      <c r="X130">
        <v>-1</v>
      </c>
      <c r="Y130" t="s">
        <v>17</v>
      </c>
    </row>
    <row r="131" spans="1:25">
      <c r="A131" t="s">
        <v>237</v>
      </c>
      <c r="B131" t="s">
        <v>237</v>
      </c>
      <c r="C131" t="s">
        <v>87</v>
      </c>
      <c r="D131" t="s">
        <v>88</v>
      </c>
      <c r="E131" s="3">
        <v>45906</v>
      </c>
      <c r="F131">
        <v>570.91</v>
      </c>
      <c r="G131" t="s">
        <v>56</v>
      </c>
      <c r="H131" t="s">
        <v>65</v>
      </c>
      <c r="I131" t="s">
        <v>77</v>
      </c>
      <c r="J131" t="s">
        <v>81</v>
      </c>
      <c r="K131" t="s">
        <v>138</v>
      </c>
      <c r="L131" t="s">
        <v>100</v>
      </c>
      <c r="M131" t="s">
        <v>101</v>
      </c>
      <c r="N131" s="3">
        <v>45906</v>
      </c>
      <c r="O131">
        <v>570.83000000000004</v>
      </c>
      <c r="P131" t="s">
        <v>56</v>
      </c>
      <c r="Q131" t="s">
        <v>65</v>
      </c>
      <c r="R131" t="s">
        <v>77</v>
      </c>
      <c r="S131" t="s">
        <v>81</v>
      </c>
      <c r="T131" t="s">
        <v>138</v>
      </c>
      <c r="U131" t="s">
        <v>87</v>
      </c>
      <c r="V131" t="b">
        <v>1</v>
      </c>
      <c r="W131">
        <v>0.08</v>
      </c>
      <c r="X131">
        <v>0</v>
      </c>
      <c r="Y131" t="s">
        <v>15</v>
      </c>
    </row>
    <row r="132" spans="1:25">
      <c r="A132" t="s">
        <v>238</v>
      </c>
      <c r="B132" t="s">
        <v>238</v>
      </c>
      <c r="C132" t="s">
        <v>87</v>
      </c>
      <c r="D132" t="s">
        <v>88</v>
      </c>
      <c r="E132" s="3">
        <v>45863</v>
      </c>
      <c r="F132">
        <v>345.77</v>
      </c>
      <c r="G132" t="s">
        <v>56</v>
      </c>
      <c r="H132" t="s">
        <v>73</v>
      </c>
      <c r="I132" t="s">
        <v>97</v>
      </c>
      <c r="J132" t="s">
        <v>81</v>
      </c>
      <c r="K132" t="s">
        <v>67</v>
      </c>
      <c r="L132" t="s">
        <v>100</v>
      </c>
      <c r="M132" t="s">
        <v>101</v>
      </c>
      <c r="N132" s="3">
        <v>45862</v>
      </c>
      <c r="O132">
        <v>346.84</v>
      </c>
      <c r="P132" t="s">
        <v>56</v>
      </c>
      <c r="Q132" t="s">
        <v>73</v>
      </c>
      <c r="R132" t="s">
        <v>97</v>
      </c>
      <c r="S132" t="s">
        <v>81</v>
      </c>
      <c r="T132" t="s">
        <v>67</v>
      </c>
      <c r="U132" t="s">
        <v>87</v>
      </c>
      <c r="V132" t="b">
        <v>1</v>
      </c>
      <c r="W132">
        <v>-1.07</v>
      </c>
      <c r="X132">
        <v>1</v>
      </c>
      <c r="Y132" t="s">
        <v>17</v>
      </c>
    </row>
    <row r="133" spans="1:25">
      <c r="A133" t="s">
        <v>239</v>
      </c>
      <c r="B133" t="s">
        <v>239</v>
      </c>
      <c r="C133" t="s">
        <v>71</v>
      </c>
      <c r="D133" t="s">
        <v>72</v>
      </c>
      <c r="E133" s="3">
        <v>45915</v>
      </c>
      <c r="F133">
        <v>409.43</v>
      </c>
      <c r="G133" t="s">
        <v>56</v>
      </c>
      <c r="H133" t="s">
        <v>65</v>
      </c>
      <c r="I133" t="s">
        <v>77</v>
      </c>
      <c r="J133" t="s">
        <v>66</v>
      </c>
      <c r="K133" t="s">
        <v>78</v>
      </c>
      <c r="L133" t="s">
        <v>74</v>
      </c>
      <c r="M133" t="s">
        <v>75</v>
      </c>
      <c r="N133" s="3">
        <v>45917</v>
      </c>
      <c r="O133">
        <v>413.17</v>
      </c>
      <c r="P133" t="s">
        <v>56</v>
      </c>
      <c r="Q133" t="s">
        <v>65</v>
      </c>
      <c r="R133" t="s">
        <v>77</v>
      </c>
      <c r="S133" t="s">
        <v>66</v>
      </c>
      <c r="T133" t="s">
        <v>78</v>
      </c>
      <c r="U133" t="s">
        <v>71</v>
      </c>
      <c r="V133" t="b">
        <v>1</v>
      </c>
      <c r="W133">
        <v>-3.74</v>
      </c>
      <c r="X133">
        <v>-2</v>
      </c>
      <c r="Y133" t="s">
        <v>17</v>
      </c>
    </row>
    <row r="134" spans="1:25">
      <c r="A134" t="s">
        <v>240</v>
      </c>
      <c r="B134" t="s">
        <v>240</v>
      </c>
      <c r="C134" t="s">
        <v>63</v>
      </c>
      <c r="D134" t="s">
        <v>64</v>
      </c>
      <c r="E134" s="3">
        <v>45895</v>
      </c>
      <c r="F134">
        <v>-369.76</v>
      </c>
      <c r="G134" t="s">
        <v>56</v>
      </c>
      <c r="H134" t="s">
        <v>57</v>
      </c>
      <c r="I134" t="s">
        <v>58</v>
      </c>
      <c r="J134" t="s">
        <v>81</v>
      </c>
      <c r="K134" t="s">
        <v>67</v>
      </c>
      <c r="L134" t="s">
        <v>82</v>
      </c>
      <c r="M134" t="s">
        <v>83</v>
      </c>
      <c r="N134" s="3">
        <v>45894</v>
      </c>
      <c r="O134">
        <v>-370.61</v>
      </c>
      <c r="P134" t="s">
        <v>56</v>
      </c>
      <c r="Q134" t="s">
        <v>57</v>
      </c>
      <c r="R134" t="s">
        <v>58</v>
      </c>
      <c r="S134" t="s">
        <v>81</v>
      </c>
      <c r="T134" t="s">
        <v>67</v>
      </c>
      <c r="U134" t="s">
        <v>63</v>
      </c>
      <c r="V134" t="b">
        <v>1</v>
      </c>
      <c r="W134">
        <v>0.85</v>
      </c>
      <c r="X134">
        <v>1</v>
      </c>
      <c r="Y134" t="s">
        <v>15</v>
      </c>
    </row>
    <row r="135" spans="1:25">
      <c r="A135" t="s">
        <v>241</v>
      </c>
      <c r="B135" t="s">
        <v>241</v>
      </c>
      <c r="C135" t="s">
        <v>92</v>
      </c>
      <c r="D135" t="s">
        <v>93</v>
      </c>
      <c r="E135" s="3">
        <v>45914</v>
      </c>
      <c r="F135">
        <v>552.42999999999995</v>
      </c>
      <c r="G135" t="s">
        <v>56</v>
      </c>
      <c r="H135" t="s">
        <v>80</v>
      </c>
      <c r="I135" t="s">
        <v>58</v>
      </c>
      <c r="J135" t="s">
        <v>66</v>
      </c>
      <c r="K135" t="s">
        <v>78</v>
      </c>
      <c r="L135" t="s">
        <v>94</v>
      </c>
      <c r="M135" t="s">
        <v>95</v>
      </c>
      <c r="N135" s="3">
        <v>45914</v>
      </c>
      <c r="O135">
        <v>552.42999999999995</v>
      </c>
      <c r="P135" t="s">
        <v>56</v>
      </c>
      <c r="Q135" t="s">
        <v>80</v>
      </c>
      <c r="R135" t="s">
        <v>58</v>
      </c>
      <c r="S135" t="s">
        <v>66</v>
      </c>
      <c r="T135" t="s">
        <v>78</v>
      </c>
      <c r="U135" t="s">
        <v>92</v>
      </c>
      <c r="V135" t="b">
        <v>1</v>
      </c>
      <c r="W135">
        <v>0</v>
      </c>
      <c r="X135">
        <v>0</v>
      </c>
      <c r="Y135" t="s">
        <v>14</v>
      </c>
    </row>
    <row r="136" spans="1:25">
      <c r="A136" t="s">
        <v>242</v>
      </c>
      <c r="B136" t="s">
        <v>242</v>
      </c>
      <c r="C136" t="s">
        <v>54</v>
      </c>
      <c r="D136" t="s">
        <v>55</v>
      </c>
      <c r="E136" s="3">
        <v>45869</v>
      </c>
      <c r="F136">
        <v>-230.5</v>
      </c>
      <c r="G136" t="s">
        <v>56</v>
      </c>
      <c r="H136" t="s">
        <v>73</v>
      </c>
      <c r="I136" t="s">
        <v>58</v>
      </c>
      <c r="J136" t="s">
        <v>99</v>
      </c>
      <c r="K136" t="s">
        <v>105</v>
      </c>
      <c r="L136" t="s">
        <v>60</v>
      </c>
      <c r="M136" t="s">
        <v>61</v>
      </c>
      <c r="N136" s="3">
        <v>45869</v>
      </c>
      <c r="O136">
        <v>-230.5</v>
      </c>
      <c r="P136" t="s">
        <v>56</v>
      </c>
      <c r="Q136" t="s">
        <v>73</v>
      </c>
      <c r="R136" t="s">
        <v>58</v>
      </c>
      <c r="S136" t="s">
        <v>99</v>
      </c>
      <c r="T136" t="s">
        <v>105</v>
      </c>
      <c r="U136" t="s">
        <v>54</v>
      </c>
      <c r="V136" t="b">
        <v>1</v>
      </c>
      <c r="W136">
        <v>0</v>
      </c>
      <c r="X136">
        <v>0</v>
      </c>
      <c r="Y136" t="s">
        <v>14</v>
      </c>
    </row>
    <row r="137" spans="1:25">
      <c r="A137" t="s">
        <v>243</v>
      </c>
      <c r="B137" t="s">
        <v>243</v>
      </c>
      <c r="C137" t="s">
        <v>71</v>
      </c>
      <c r="D137" t="s">
        <v>72</v>
      </c>
      <c r="E137" s="3">
        <v>45910</v>
      </c>
      <c r="F137">
        <v>-41.89</v>
      </c>
      <c r="G137" t="s">
        <v>56</v>
      </c>
      <c r="H137" t="s">
        <v>80</v>
      </c>
      <c r="I137" t="s">
        <v>77</v>
      </c>
      <c r="J137" t="s">
        <v>81</v>
      </c>
      <c r="K137" t="s">
        <v>107</v>
      </c>
      <c r="L137" t="s">
        <v>74</v>
      </c>
      <c r="M137" t="s">
        <v>75</v>
      </c>
      <c r="N137" s="3">
        <v>45912</v>
      </c>
      <c r="O137">
        <v>-42.28</v>
      </c>
      <c r="P137" t="s">
        <v>56</v>
      </c>
      <c r="Q137" t="s">
        <v>80</v>
      </c>
      <c r="R137" t="s">
        <v>77</v>
      </c>
      <c r="S137" t="s">
        <v>81</v>
      </c>
      <c r="T137" t="s">
        <v>107</v>
      </c>
      <c r="U137" t="s">
        <v>71</v>
      </c>
      <c r="V137" t="b">
        <v>1</v>
      </c>
      <c r="W137">
        <v>0.39</v>
      </c>
      <c r="X137">
        <v>-2</v>
      </c>
      <c r="Y137" t="s">
        <v>15</v>
      </c>
    </row>
    <row r="138" spans="1:25">
      <c r="A138" t="s">
        <v>244</v>
      </c>
      <c r="B138" t="s">
        <v>244</v>
      </c>
      <c r="C138" t="s">
        <v>63</v>
      </c>
      <c r="D138" t="s">
        <v>64</v>
      </c>
      <c r="E138" s="3">
        <v>45862</v>
      </c>
      <c r="F138">
        <v>-522.04</v>
      </c>
      <c r="G138" t="s">
        <v>56</v>
      </c>
      <c r="H138" t="s">
        <v>80</v>
      </c>
      <c r="I138" t="s">
        <v>77</v>
      </c>
      <c r="J138" t="s">
        <v>66</v>
      </c>
      <c r="K138" t="s">
        <v>59</v>
      </c>
      <c r="L138" t="s">
        <v>82</v>
      </c>
      <c r="M138" t="s">
        <v>83</v>
      </c>
      <c r="N138" s="3">
        <v>45862</v>
      </c>
      <c r="O138">
        <v>-522.04</v>
      </c>
      <c r="P138" t="s">
        <v>56</v>
      </c>
      <c r="Q138" t="s">
        <v>80</v>
      </c>
      <c r="R138" t="s">
        <v>77</v>
      </c>
      <c r="S138" t="s">
        <v>66</v>
      </c>
      <c r="T138" t="s">
        <v>59</v>
      </c>
      <c r="U138" t="s">
        <v>63</v>
      </c>
      <c r="V138" t="b">
        <v>1</v>
      </c>
      <c r="W138">
        <v>0</v>
      </c>
      <c r="X138">
        <v>0</v>
      </c>
      <c r="Y138" t="s">
        <v>14</v>
      </c>
    </row>
    <row r="139" spans="1:25">
      <c r="A139" t="s">
        <v>245</v>
      </c>
      <c r="B139" t="s">
        <v>245</v>
      </c>
      <c r="C139" t="s">
        <v>87</v>
      </c>
      <c r="D139" t="s">
        <v>88</v>
      </c>
      <c r="E139" s="3">
        <v>45881</v>
      </c>
      <c r="F139">
        <v>-165.87</v>
      </c>
      <c r="G139" t="s">
        <v>56</v>
      </c>
      <c r="H139" t="s">
        <v>80</v>
      </c>
      <c r="I139" t="s">
        <v>77</v>
      </c>
      <c r="J139" t="s">
        <v>66</v>
      </c>
      <c r="K139" t="s">
        <v>107</v>
      </c>
      <c r="L139" t="s">
        <v>89</v>
      </c>
      <c r="M139" t="s">
        <v>90</v>
      </c>
      <c r="N139" s="3">
        <v>45881</v>
      </c>
      <c r="O139">
        <v>-165.87</v>
      </c>
      <c r="P139" t="s">
        <v>56</v>
      </c>
      <c r="Q139" t="s">
        <v>80</v>
      </c>
      <c r="R139" t="s">
        <v>77</v>
      </c>
      <c r="S139" t="s">
        <v>66</v>
      </c>
      <c r="T139" t="s">
        <v>107</v>
      </c>
      <c r="U139" t="s">
        <v>87</v>
      </c>
      <c r="V139" t="b">
        <v>1</v>
      </c>
      <c r="W139">
        <v>0</v>
      </c>
      <c r="X139">
        <v>0</v>
      </c>
      <c r="Y139" t="s">
        <v>14</v>
      </c>
    </row>
    <row r="140" spans="1:25">
      <c r="A140" t="s">
        <v>246</v>
      </c>
      <c r="B140" t="s">
        <v>246</v>
      </c>
      <c r="C140" t="s">
        <v>92</v>
      </c>
      <c r="D140" t="s">
        <v>93</v>
      </c>
      <c r="E140" s="3">
        <v>45869</v>
      </c>
      <c r="F140">
        <v>-12.01</v>
      </c>
      <c r="G140" t="s">
        <v>56</v>
      </c>
      <c r="H140" t="s">
        <v>73</v>
      </c>
      <c r="I140" t="s">
        <v>97</v>
      </c>
      <c r="J140" t="s">
        <v>99</v>
      </c>
      <c r="K140" t="s">
        <v>138</v>
      </c>
      <c r="L140" t="s">
        <v>94</v>
      </c>
      <c r="M140" t="s">
        <v>95</v>
      </c>
      <c r="N140" s="3">
        <v>45869</v>
      </c>
      <c r="O140">
        <v>-12.01</v>
      </c>
      <c r="P140" t="s">
        <v>56</v>
      </c>
      <c r="Q140" t="s">
        <v>73</v>
      </c>
      <c r="R140" t="s">
        <v>97</v>
      </c>
      <c r="S140" t="s">
        <v>99</v>
      </c>
      <c r="T140" t="s">
        <v>138</v>
      </c>
      <c r="U140" t="s">
        <v>92</v>
      </c>
      <c r="V140" t="b">
        <v>1</v>
      </c>
      <c r="W140">
        <v>0</v>
      </c>
      <c r="X140">
        <v>0</v>
      </c>
      <c r="Y140" t="s">
        <v>14</v>
      </c>
    </row>
    <row r="141" spans="1:25">
      <c r="A141" t="s">
        <v>247</v>
      </c>
      <c r="B141" t="s">
        <v>247</v>
      </c>
      <c r="C141" t="s">
        <v>92</v>
      </c>
      <c r="D141" t="s">
        <v>93</v>
      </c>
      <c r="E141" s="3">
        <v>45858</v>
      </c>
      <c r="F141">
        <v>593.33000000000004</v>
      </c>
      <c r="G141" t="s">
        <v>56</v>
      </c>
      <c r="H141" t="s">
        <v>65</v>
      </c>
      <c r="I141" t="s">
        <v>77</v>
      </c>
      <c r="J141" t="s">
        <v>66</v>
      </c>
      <c r="K141" t="s">
        <v>67</v>
      </c>
      <c r="L141" t="s">
        <v>94</v>
      </c>
      <c r="M141" t="s">
        <v>95</v>
      </c>
      <c r="N141" s="3">
        <v>45858</v>
      </c>
      <c r="O141">
        <v>592.66</v>
      </c>
      <c r="P141" t="s">
        <v>56</v>
      </c>
      <c r="Q141" t="s">
        <v>65</v>
      </c>
      <c r="R141" t="s">
        <v>77</v>
      </c>
      <c r="S141" t="s">
        <v>66</v>
      </c>
      <c r="T141" t="s">
        <v>67</v>
      </c>
      <c r="U141" t="s">
        <v>92</v>
      </c>
      <c r="V141" t="b">
        <v>1</v>
      </c>
      <c r="W141">
        <v>0.67</v>
      </c>
      <c r="X141">
        <v>0</v>
      </c>
      <c r="Y141" t="s">
        <v>15</v>
      </c>
    </row>
    <row r="142" spans="1:25">
      <c r="A142" t="s">
        <v>248</v>
      </c>
      <c r="B142" t="s">
        <v>248</v>
      </c>
      <c r="C142" t="s">
        <v>63</v>
      </c>
      <c r="D142" t="s">
        <v>64</v>
      </c>
      <c r="E142" s="3">
        <v>45886</v>
      </c>
      <c r="F142">
        <v>-322.24</v>
      </c>
      <c r="G142" t="s">
        <v>56</v>
      </c>
      <c r="H142" t="s">
        <v>57</v>
      </c>
      <c r="I142" t="s">
        <v>103</v>
      </c>
      <c r="J142" t="s">
        <v>81</v>
      </c>
      <c r="K142" t="s">
        <v>105</v>
      </c>
      <c r="L142" t="s">
        <v>82</v>
      </c>
      <c r="M142" t="s">
        <v>83</v>
      </c>
      <c r="N142" s="3">
        <v>45886</v>
      </c>
      <c r="O142">
        <v>-322.58999999999997</v>
      </c>
      <c r="P142" t="s">
        <v>56</v>
      </c>
      <c r="Q142" t="s">
        <v>57</v>
      </c>
      <c r="R142" t="s">
        <v>103</v>
      </c>
      <c r="S142" t="s">
        <v>81</v>
      </c>
      <c r="T142" t="s">
        <v>105</v>
      </c>
      <c r="U142" t="s">
        <v>63</v>
      </c>
      <c r="V142" t="b">
        <v>1</v>
      </c>
      <c r="W142">
        <v>0.35</v>
      </c>
      <c r="X142">
        <v>0</v>
      </c>
      <c r="Y142" t="s">
        <v>15</v>
      </c>
    </row>
    <row r="143" spans="1:25">
      <c r="A143" t="s">
        <v>249</v>
      </c>
      <c r="B143" t="s">
        <v>249</v>
      </c>
      <c r="C143" t="s">
        <v>63</v>
      </c>
      <c r="D143" t="s">
        <v>64</v>
      </c>
      <c r="E143" s="3">
        <v>45914</v>
      </c>
      <c r="F143">
        <v>624.03</v>
      </c>
      <c r="G143" t="s">
        <v>56</v>
      </c>
      <c r="H143" t="s">
        <v>80</v>
      </c>
      <c r="I143" t="s">
        <v>103</v>
      </c>
      <c r="J143" t="s">
        <v>99</v>
      </c>
      <c r="K143" t="s">
        <v>59</v>
      </c>
      <c r="L143" t="s">
        <v>68</v>
      </c>
      <c r="M143" t="s">
        <v>69</v>
      </c>
      <c r="N143" s="3">
        <v>45914</v>
      </c>
      <c r="O143">
        <v>624.03</v>
      </c>
      <c r="P143" t="s">
        <v>56</v>
      </c>
      <c r="Q143" t="s">
        <v>80</v>
      </c>
      <c r="R143" t="s">
        <v>103</v>
      </c>
      <c r="S143" t="s">
        <v>99</v>
      </c>
      <c r="T143" t="s">
        <v>59</v>
      </c>
      <c r="U143" t="s">
        <v>63</v>
      </c>
      <c r="V143" t="b">
        <v>1</v>
      </c>
      <c r="W143">
        <v>0</v>
      </c>
      <c r="X143">
        <v>0</v>
      </c>
      <c r="Y143" t="s">
        <v>14</v>
      </c>
    </row>
    <row r="144" spans="1:25">
      <c r="A144" t="s">
        <v>250</v>
      </c>
      <c r="B144" t="s">
        <v>250</v>
      </c>
      <c r="C144" t="s">
        <v>63</v>
      </c>
      <c r="D144" t="s">
        <v>64</v>
      </c>
      <c r="E144" s="3">
        <v>45873</v>
      </c>
      <c r="F144">
        <v>367.29</v>
      </c>
      <c r="G144" t="s">
        <v>56</v>
      </c>
      <c r="H144" t="s">
        <v>80</v>
      </c>
      <c r="I144" t="s">
        <v>103</v>
      </c>
      <c r="J144" t="s">
        <v>99</v>
      </c>
      <c r="K144" t="s">
        <v>107</v>
      </c>
      <c r="L144" t="s">
        <v>82</v>
      </c>
      <c r="M144" t="s">
        <v>83</v>
      </c>
      <c r="N144" s="3">
        <v>45873</v>
      </c>
      <c r="O144">
        <v>367.29</v>
      </c>
      <c r="P144" t="s">
        <v>56</v>
      </c>
      <c r="Q144" t="s">
        <v>80</v>
      </c>
      <c r="R144" t="s">
        <v>103</v>
      </c>
      <c r="S144" t="s">
        <v>99</v>
      </c>
      <c r="T144" t="s">
        <v>107</v>
      </c>
      <c r="U144" t="s">
        <v>63</v>
      </c>
      <c r="V144" t="b">
        <v>1</v>
      </c>
      <c r="W144">
        <v>0</v>
      </c>
      <c r="X144">
        <v>0</v>
      </c>
      <c r="Y144" t="s">
        <v>14</v>
      </c>
    </row>
    <row r="145" spans="1:25">
      <c r="A145" t="s">
        <v>251</v>
      </c>
      <c r="B145" t="s">
        <v>251</v>
      </c>
      <c r="C145" t="s">
        <v>119</v>
      </c>
      <c r="D145" t="s">
        <v>120</v>
      </c>
      <c r="E145" s="3">
        <v>45915</v>
      </c>
      <c r="F145">
        <v>219.51</v>
      </c>
      <c r="G145" t="s">
        <v>56</v>
      </c>
      <c r="H145" t="s">
        <v>57</v>
      </c>
      <c r="I145" t="s">
        <v>58</v>
      </c>
      <c r="K145" t="s">
        <v>78</v>
      </c>
      <c r="L145" t="s">
        <v>121</v>
      </c>
      <c r="M145" t="s">
        <v>122</v>
      </c>
      <c r="N145" s="3">
        <v>45915</v>
      </c>
      <c r="O145">
        <v>219.51</v>
      </c>
      <c r="P145" t="s">
        <v>56</v>
      </c>
      <c r="Q145" t="s">
        <v>57</v>
      </c>
      <c r="R145" t="s">
        <v>58</v>
      </c>
      <c r="T145" t="s">
        <v>78</v>
      </c>
      <c r="U145" t="s">
        <v>119</v>
      </c>
      <c r="V145" t="b">
        <v>1</v>
      </c>
      <c r="W145">
        <v>0</v>
      </c>
      <c r="X145">
        <v>0</v>
      </c>
      <c r="Y145" t="s">
        <v>14</v>
      </c>
    </row>
    <row r="146" spans="1:25">
      <c r="A146" t="s">
        <v>252</v>
      </c>
      <c r="B146" t="s">
        <v>252</v>
      </c>
      <c r="C146" t="s">
        <v>63</v>
      </c>
      <c r="D146" t="s">
        <v>64</v>
      </c>
      <c r="E146" s="3">
        <v>45887</v>
      </c>
      <c r="F146">
        <v>189.12</v>
      </c>
      <c r="G146" t="s">
        <v>56</v>
      </c>
      <c r="H146" t="s">
        <v>73</v>
      </c>
      <c r="I146" t="s">
        <v>77</v>
      </c>
      <c r="K146" t="s">
        <v>138</v>
      </c>
      <c r="L146" t="s">
        <v>68</v>
      </c>
      <c r="M146" t="s">
        <v>69</v>
      </c>
      <c r="N146" s="3">
        <v>45887</v>
      </c>
      <c r="O146">
        <v>189.12</v>
      </c>
      <c r="P146" t="s">
        <v>56</v>
      </c>
      <c r="Q146" t="s">
        <v>73</v>
      </c>
      <c r="R146" t="s">
        <v>77</v>
      </c>
      <c r="T146" t="s">
        <v>138</v>
      </c>
      <c r="U146" t="s">
        <v>63</v>
      </c>
      <c r="V146" t="b">
        <v>1</v>
      </c>
      <c r="W146">
        <v>0</v>
      </c>
      <c r="X146">
        <v>0</v>
      </c>
      <c r="Y146" t="s">
        <v>14</v>
      </c>
    </row>
    <row r="147" spans="1:25">
      <c r="A147" t="s">
        <v>253</v>
      </c>
      <c r="B147" t="s">
        <v>253</v>
      </c>
      <c r="C147" t="s">
        <v>71</v>
      </c>
      <c r="D147" t="s">
        <v>72</v>
      </c>
      <c r="E147" s="3">
        <v>45909</v>
      </c>
      <c r="F147">
        <v>371.27</v>
      </c>
      <c r="G147" t="s">
        <v>56</v>
      </c>
      <c r="H147" t="s">
        <v>73</v>
      </c>
      <c r="I147" t="s">
        <v>97</v>
      </c>
      <c r="J147" t="s">
        <v>66</v>
      </c>
      <c r="L147" t="s">
        <v>74</v>
      </c>
      <c r="M147" t="s">
        <v>75</v>
      </c>
      <c r="N147" s="3">
        <v>45909</v>
      </c>
      <c r="O147">
        <v>371.27</v>
      </c>
      <c r="P147" t="s">
        <v>56</v>
      </c>
      <c r="Q147" t="s">
        <v>73</v>
      </c>
      <c r="R147" t="s">
        <v>97</v>
      </c>
      <c r="S147" t="s">
        <v>66</v>
      </c>
      <c r="U147" t="s">
        <v>71</v>
      </c>
      <c r="V147" t="b">
        <v>1</v>
      </c>
      <c r="W147">
        <v>0</v>
      </c>
      <c r="X147">
        <v>0</v>
      </c>
      <c r="Y147" t="s">
        <v>14</v>
      </c>
    </row>
    <row r="148" spans="1:25">
      <c r="A148" t="s">
        <v>254</v>
      </c>
      <c r="B148" t="s">
        <v>254</v>
      </c>
      <c r="C148" t="s">
        <v>87</v>
      </c>
      <c r="D148" t="s">
        <v>88</v>
      </c>
      <c r="E148" s="3">
        <v>45909</v>
      </c>
      <c r="F148">
        <v>431.65</v>
      </c>
      <c r="G148" t="s">
        <v>56</v>
      </c>
      <c r="H148" t="s">
        <v>65</v>
      </c>
      <c r="I148" t="s">
        <v>97</v>
      </c>
      <c r="J148" t="s">
        <v>99</v>
      </c>
      <c r="L148" t="s">
        <v>100</v>
      </c>
      <c r="M148" t="s">
        <v>101</v>
      </c>
      <c r="N148" s="3">
        <v>45909</v>
      </c>
      <c r="O148">
        <v>431.65</v>
      </c>
      <c r="P148" t="s">
        <v>56</v>
      </c>
      <c r="Q148" t="s">
        <v>65</v>
      </c>
      <c r="R148" t="s">
        <v>97</v>
      </c>
      <c r="S148" t="s">
        <v>99</v>
      </c>
      <c r="U148" t="s">
        <v>87</v>
      </c>
      <c r="V148" t="b">
        <v>1</v>
      </c>
      <c r="W148">
        <v>0</v>
      </c>
      <c r="X148">
        <v>0</v>
      </c>
      <c r="Y148" t="s">
        <v>14</v>
      </c>
    </row>
    <row r="149" spans="1:25">
      <c r="A149" t="s">
        <v>255</v>
      </c>
      <c r="B149" t="s">
        <v>255</v>
      </c>
      <c r="C149" t="s">
        <v>54</v>
      </c>
      <c r="D149" t="s">
        <v>55</v>
      </c>
      <c r="E149" s="3">
        <v>45886</v>
      </c>
      <c r="F149">
        <v>-294.13</v>
      </c>
      <c r="G149" t="s">
        <v>56</v>
      </c>
      <c r="H149" t="s">
        <v>57</v>
      </c>
      <c r="I149" t="s">
        <v>97</v>
      </c>
      <c r="J149" t="s">
        <v>117</v>
      </c>
      <c r="L149" t="s">
        <v>60</v>
      </c>
      <c r="M149" t="s">
        <v>61</v>
      </c>
      <c r="N149" s="3">
        <v>45886</v>
      </c>
      <c r="O149">
        <v>-294.13</v>
      </c>
      <c r="P149" t="s">
        <v>56</v>
      </c>
      <c r="Q149" t="s">
        <v>57</v>
      </c>
      <c r="R149" t="s">
        <v>97</v>
      </c>
      <c r="S149" t="s">
        <v>117</v>
      </c>
      <c r="U149" t="s">
        <v>54</v>
      </c>
      <c r="V149" t="b">
        <v>1</v>
      </c>
      <c r="W149">
        <v>0</v>
      </c>
      <c r="X149">
        <v>0</v>
      </c>
      <c r="Y149" t="s">
        <v>14</v>
      </c>
    </row>
    <row r="150" spans="1:25">
      <c r="A150" t="s">
        <v>256</v>
      </c>
      <c r="B150" t="s">
        <v>256</v>
      </c>
      <c r="C150" t="s">
        <v>150</v>
      </c>
      <c r="D150" t="s">
        <v>151</v>
      </c>
      <c r="E150" s="3">
        <v>45872</v>
      </c>
      <c r="F150">
        <v>429.72</v>
      </c>
      <c r="G150" t="s">
        <v>56</v>
      </c>
      <c r="H150" t="s">
        <v>57</v>
      </c>
      <c r="I150" t="s">
        <v>77</v>
      </c>
      <c r="J150" t="s">
        <v>85</v>
      </c>
      <c r="K150" t="s">
        <v>59</v>
      </c>
      <c r="L150" t="s">
        <v>152</v>
      </c>
      <c r="M150" t="s">
        <v>153</v>
      </c>
      <c r="N150" s="3">
        <v>45873</v>
      </c>
      <c r="O150">
        <v>429.97</v>
      </c>
      <c r="P150" t="s">
        <v>56</v>
      </c>
      <c r="Q150" t="s">
        <v>57</v>
      </c>
      <c r="R150" t="s">
        <v>77</v>
      </c>
      <c r="S150" t="s">
        <v>85</v>
      </c>
      <c r="T150" t="s">
        <v>59</v>
      </c>
      <c r="U150" t="s">
        <v>150</v>
      </c>
      <c r="V150" t="b">
        <v>1</v>
      </c>
      <c r="W150">
        <v>-0.25</v>
      </c>
      <c r="X150">
        <v>-1</v>
      </c>
      <c r="Y150" t="s">
        <v>15</v>
      </c>
    </row>
    <row r="151" spans="1:25">
      <c r="A151" t="s">
        <v>257</v>
      </c>
      <c r="B151" t="s">
        <v>257</v>
      </c>
      <c r="C151" t="s">
        <v>54</v>
      </c>
      <c r="D151" t="s">
        <v>55</v>
      </c>
      <c r="E151" s="3">
        <v>45867</v>
      </c>
      <c r="F151">
        <v>115.97</v>
      </c>
      <c r="G151" t="s">
        <v>56</v>
      </c>
      <c r="H151" t="s">
        <v>57</v>
      </c>
      <c r="I151" t="s">
        <v>58</v>
      </c>
      <c r="J151" t="s">
        <v>99</v>
      </c>
      <c r="K151" t="s">
        <v>59</v>
      </c>
      <c r="L151" t="s">
        <v>60</v>
      </c>
      <c r="M151" t="s">
        <v>61</v>
      </c>
      <c r="N151" s="3">
        <v>45867</v>
      </c>
      <c r="O151">
        <v>115.97</v>
      </c>
      <c r="P151" t="s">
        <v>56</v>
      </c>
      <c r="Q151" t="s">
        <v>57</v>
      </c>
      <c r="R151" t="s">
        <v>58</v>
      </c>
      <c r="S151" t="s">
        <v>99</v>
      </c>
      <c r="T151" t="s">
        <v>59</v>
      </c>
      <c r="U151" t="s">
        <v>54</v>
      </c>
      <c r="V151" t="b">
        <v>1</v>
      </c>
      <c r="W151">
        <v>0</v>
      </c>
      <c r="X151">
        <v>0</v>
      </c>
      <c r="Y151" t="s">
        <v>14</v>
      </c>
    </row>
    <row r="152" spans="1:25">
      <c r="A152" t="s">
        <v>258</v>
      </c>
      <c r="B152" t="s">
        <v>258</v>
      </c>
      <c r="C152" t="s">
        <v>63</v>
      </c>
      <c r="D152" t="s">
        <v>64</v>
      </c>
      <c r="E152" s="3">
        <v>45870</v>
      </c>
      <c r="F152">
        <v>-503.62</v>
      </c>
      <c r="G152" t="s">
        <v>56</v>
      </c>
      <c r="H152" t="s">
        <v>73</v>
      </c>
      <c r="I152" t="s">
        <v>77</v>
      </c>
      <c r="J152" t="s">
        <v>81</v>
      </c>
      <c r="K152" t="s">
        <v>78</v>
      </c>
      <c r="L152" t="s">
        <v>68</v>
      </c>
      <c r="M152" t="s">
        <v>69</v>
      </c>
      <c r="N152" s="3">
        <v>45870</v>
      </c>
      <c r="O152">
        <v>-503.62</v>
      </c>
      <c r="P152" t="s">
        <v>56</v>
      </c>
      <c r="Q152" t="s">
        <v>73</v>
      </c>
      <c r="R152" t="s">
        <v>77</v>
      </c>
      <c r="S152" t="s">
        <v>81</v>
      </c>
      <c r="T152" t="s">
        <v>78</v>
      </c>
      <c r="U152" t="s">
        <v>63</v>
      </c>
      <c r="V152" t="b">
        <v>1</v>
      </c>
      <c r="W152">
        <v>0</v>
      </c>
      <c r="X152">
        <v>0</v>
      </c>
      <c r="Y152" t="s">
        <v>14</v>
      </c>
    </row>
    <row r="153" spans="1:25">
      <c r="A153" t="s">
        <v>259</v>
      </c>
      <c r="B153" t="s">
        <v>259</v>
      </c>
      <c r="C153" t="s">
        <v>150</v>
      </c>
      <c r="D153" t="s">
        <v>151</v>
      </c>
      <c r="E153" s="3">
        <v>45883</v>
      </c>
      <c r="F153">
        <v>51.59</v>
      </c>
      <c r="G153" t="s">
        <v>56</v>
      </c>
      <c r="H153" t="s">
        <v>65</v>
      </c>
      <c r="I153" t="s">
        <v>58</v>
      </c>
      <c r="L153" t="s">
        <v>152</v>
      </c>
      <c r="M153" t="s">
        <v>153</v>
      </c>
      <c r="N153" s="3">
        <v>45881</v>
      </c>
      <c r="O153">
        <v>62.68</v>
      </c>
      <c r="P153" t="s">
        <v>56</v>
      </c>
      <c r="Q153" t="s">
        <v>65</v>
      </c>
      <c r="R153" t="s">
        <v>58</v>
      </c>
      <c r="U153" t="s">
        <v>150</v>
      </c>
      <c r="V153" t="b">
        <v>1</v>
      </c>
      <c r="W153">
        <v>-11.09</v>
      </c>
      <c r="X153">
        <v>2</v>
      </c>
      <c r="Y153" t="s">
        <v>17</v>
      </c>
    </row>
    <row r="154" spans="1:25">
      <c r="A154" t="s">
        <v>260</v>
      </c>
      <c r="B154" t="s">
        <v>260</v>
      </c>
      <c r="C154" t="s">
        <v>87</v>
      </c>
      <c r="D154" t="s">
        <v>88</v>
      </c>
      <c r="E154" s="3">
        <v>45875</v>
      </c>
      <c r="F154">
        <v>-451.54</v>
      </c>
      <c r="G154" t="s">
        <v>56</v>
      </c>
      <c r="H154" t="s">
        <v>80</v>
      </c>
      <c r="I154" t="s">
        <v>103</v>
      </c>
      <c r="J154" t="s">
        <v>99</v>
      </c>
      <c r="K154" t="s">
        <v>105</v>
      </c>
      <c r="L154" t="s">
        <v>100</v>
      </c>
      <c r="M154" t="s">
        <v>101</v>
      </c>
      <c r="N154" s="3">
        <v>45875</v>
      </c>
      <c r="O154">
        <v>-451.54</v>
      </c>
      <c r="P154" t="s">
        <v>56</v>
      </c>
      <c r="Q154" t="s">
        <v>80</v>
      </c>
      <c r="R154" t="s">
        <v>103</v>
      </c>
      <c r="S154" t="s">
        <v>99</v>
      </c>
      <c r="T154" t="s">
        <v>105</v>
      </c>
      <c r="U154" t="s">
        <v>87</v>
      </c>
      <c r="V154" t="b">
        <v>1</v>
      </c>
      <c r="W154">
        <v>0</v>
      </c>
      <c r="X154">
        <v>0</v>
      </c>
      <c r="Y154" t="s">
        <v>14</v>
      </c>
    </row>
    <row r="155" spans="1:25">
      <c r="A155" t="s">
        <v>261</v>
      </c>
      <c r="B155" t="s">
        <v>261</v>
      </c>
      <c r="C155" t="s">
        <v>87</v>
      </c>
      <c r="D155" t="s">
        <v>88</v>
      </c>
      <c r="E155" s="3">
        <v>45869</v>
      </c>
      <c r="F155">
        <v>674.32</v>
      </c>
      <c r="G155" t="s">
        <v>56</v>
      </c>
      <c r="H155" t="s">
        <v>65</v>
      </c>
      <c r="I155" t="s">
        <v>97</v>
      </c>
      <c r="J155" t="s">
        <v>81</v>
      </c>
      <c r="K155" t="s">
        <v>78</v>
      </c>
      <c r="L155" t="s">
        <v>100</v>
      </c>
      <c r="M155" t="s">
        <v>101</v>
      </c>
      <c r="N155" s="3">
        <v>45869</v>
      </c>
      <c r="O155">
        <v>674.32</v>
      </c>
      <c r="P155" t="s">
        <v>56</v>
      </c>
      <c r="Q155" t="s">
        <v>65</v>
      </c>
      <c r="R155" t="s">
        <v>97</v>
      </c>
      <c r="S155" t="s">
        <v>81</v>
      </c>
      <c r="T155" t="s">
        <v>78</v>
      </c>
      <c r="U155" t="s">
        <v>87</v>
      </c>
      <c r="V155" t="b">
        <v>1</v>
      </c>
      <c r="W155">
        <v>0</v>
      </c>
      <c r="X155">
        <v>0</v>
      </c>
      <c r="Y155" t="s">
        <v>14</v>
      </c>
    </row>
    <row r="156" spans="1:25">
      <c r="A156" t="s">
        <v>262</v>
      </c>
      <c r="B156" t="s">
        <v>262</v>
      </c>
      <c r="C156" t="s">
        <v>87</v>
      </c>
      <c r="D156" t="s">
        <v>88</v>
      </c>
      <c r="E156" s="3">
        <v>45913</v>
      </c>
      <c r="F156">
        <v>772.98</v>
      </c>
      <c r="G156" t="s">
        <v>56</v>
      </c>
      <c r="H156" t="s">
        <v>65</v>
      </c>
      <c r="I156" t="s">
        <v>103</v>
      </c>
      <c r="J156" t="s">
        <v>66</v>
      </c>
      <c r="K156" t="s">
        <v>67</v>
      </c>
      <c r="L156" t="s">
        <v>100</v>
      </c>
      <c r="M156" t="s">
        <v>101</v>
      </c>
      <c r="N156" s="3">
        <v>45913</v>
      </c>
      <c r="O156">
        <v>772.98</v>
      </c>
      <c r="P156" t="s">
        <v>56</v>
      </c>
      <c r="Q156" t="s">
        <v>65</v>
      </c>
      <c r="R156" t="s">
        <v>103</v>
      </c>
      <c r="S156" t="s">
        <v>66</v>
      </c>
      <c r="T156" t="s">
        <v>67</v>
      </c>
      <c r="U156" t="s">
        <v>87</v>
      </c>
      <c r="V156" t="b">
        <v>1</v>
      </c>
      <c r="W156">
        <v>0</v>
      </c>
      <c r="X156">
        <v>0</v>
      </c>
      <c r="Y156" t="s">
        <v>14</v>
      </c>
    </row>
    <row r="157" spans="1:25">
      <c r="A157" t="s">
        <v>263</v>
      </c>
      <c r="B157" t="s">
        <v>263</v>
      </c>
      <c r="C157" t="s">
        <v>87</v>
      </c>
      <c r="D157" t="s">
        <v>88</v>
      </c>
      <c r="E157" s="3">
        <v>45872</v>
      </c>
      <c r="F157">
        <v>928.6</v>
      </c>
      <c r="G157" t="s">
        <v>56</v>
      </c>
      <c r="H157" t="s">
        <v>65</v>
      </c>
      <c r="I157" t="s">
        <v>58</v>
      </c>
      <c r="J157" t="s">
        <v>109</v>
      </c>
      <c r="K157" t="s">
        <v>67</v>
      </c>
      <c r="L157" t="s">
        <v>100</v>
      </c>
      <c r="M157" t="s">
        <v>101</v>
      </c>
      <c r="N157" s="3">
        <v>45872</v>
      </c>
      <c r="O157">
        <v>929.6</v>
      </c>
      <c r="P157" t="s">
        <v>56</v>
      </c>
      <c r="Q157" t="s">
        <v>65</v>
      </c>
      <c r="R157" t="s">
        <v>58</v>
      </c>
      <c r="S157" t="s">
        <v>109</v>
      </c>
      <c r="T157" t="s">
        <v>67</v>
      </c>
      <c r="U157" t="s">
        <v>87</v>
      </c>
      <c r="V157" t="b">
        <v>1</v>
      </c>
      <c r="W157">
        <v>-1</v>
      </c>
      <c r="X157">
        <v>0</v>
      </c>
      <c r="Y157" t="s">
        <v>15</v>
      </c>
    </row>
    <row r="158" spans="1:25">
      <c r="A158" t="s">
        <v>264</v>
      </c>
      <c r="B158" t="s">
        <v>264</v>
      </c>
      <c r="C158" t="s">
        <v>63</v>
      </c>
      <c r="D158" t="s">
        <v>64</v>
      </c>
      <c r="E158" s="3">
        <v>45863</v>
      </c>
      <c r="F158">
        <v>-110.93</v>
      </c>
      <c r="G158" t="s">
        <v>56</v>
      </c>
      <c r="H158" t="s">
        <v>65</v>
      </c>
      <c r="I158" t="s">
        <v>77</v>
      </c>
      <c r="J158" t="s">
        <v>99</v>
      </c>
      <c r="K158" t="s">
        <v>107</v>
      </c>
      <c r="L158" t="s">
        <v>82</v>
      </c>
      <c r="M158" t="s">
        <v>83</v>
      </c>
      <c r="N158" s="3">
        <v>45863</v>
      </c>
      <c r="O158">
        <v>-110.93</v>
      </c>
      <c r="P158" t="s">
        <v>56</v>
      </c>
      <c r="Q158" t="s">
        <v>65</v>
      </c>
      <c r="R158" t="s">
        <v>77</v>
      </c>
      <c r="S158" t="s">
        <v>99</v>
      </c>
      <c r="T158" t="s">
        <v>107</v>
      </c>
      <c r="U158" t="s">
        <v>63</v>
      </c>
      <c r="V158" t="b">
        <v>1</v>
      </c>
      <c r="W158">
        <v>0</v>
      </c>
      <c r="X158">
        <v>0</v>
      </c>
      <c r="Y158" t="s">
        <v>14</v>
      </c>
    </row>
    <row r="159" spans="1:25">
      <c r="A159" t="s">
        <v>265</v>
      </c>
      <c r="B159" t="s">
        <v>265</v>
      </c>
      <c r="C159" t="s">
        <v>87</v>
      </c>
      <c r="D159" t="s">
        <v>88</v>
      </c>
      <c r="E159" s="3">
        <v>45871</v>
      </c>
      <c r="F159">
        <v>-689.68</v>
      </c>
      <c r="G159" t="s">
        <v>56</v>
      </c>
      <c r="H159" t="s">
        <v>65</v>
      </c>
      <c r="I159" t="s">
        <v>97</v>
      </c>
      <c r="J159" t="s">
        <v>66</v>
      </c>
      <c r="K159" t="s">
        <v>138</v>
      </c>
      <c r="L159" t="s">
        <v>100</v>
      </c>
      <c r="M159" t="s">
        <v>101</v>
      </c>
      <c r="N159" s="3">
        <v>45870</v>
      </c>
      <c r="O159">
        <v>-690.12</v>
      </c>
      <c r="P159" t="s">
        <v>56</v>
      </c>
      <c r="Q159" t="s">
        <v>65</v>
      </c>
      <c r="R159" t="s">
        <v>97</v>
      </c>
      <c r="S159" t="s">
        <v>66</v>
      </c>
      <c r="T159" t="s">
        <v>138</v>
      </c>
      <c r="U159" t="s">
        <v>87</v>
      </c>
      <c r="V159" t="b">
        <v>1</v>
      </c>
      <c r="W159">
        <v>0.44</v>
      </c>
      <c r="X159">
        <v>1</v>
      </c>
      <c r="Y159" t="s">
        <v>15</v>
      </c>
    </row>
    <row r="160" spans="1:25">
      <c r="A160" t="s">
        <v>266</v>
      </c>
      <c r="B160" t="s">
        <v>266</v>
      </c>
      <c r="C160" t="s">
        <v>92</v>
      </c>
      <c r="D160" t="s">
        <v>93</v>
      </c>
      <c r="E160" s="3">
        <v>45912</v>
      </c>
      <c r="F160">
        <v>-801.57</v>
      </c>
      <c r="G160" t="s">
        <v>56</v>
      </c>
      <c r="H160" t="s">
        <v>80</v>
      </c>
      <c r="I160" t="s">
        <v>58</v>
      </c>
      <c r="J160" t="s">
        <v>66</v>
      </c>
      <c r="K160" t="s">
        <v>105</v>
      </c>
      <c r="L160" t="s">
        <v>125</v>
      </c>
      <c r="M160" t="s">
        <v>126</v>
      </c>
      <c r="N160" s="3">
        <v>45912</v>
      </c>
      <c r="O160">
        <v>-801.57</v>
      </c>
      <c r="P160" t="s">
        <v>56</v>
      </c>
      <c r="Q160" t="s">
        <v>80</v>
      </c>
      <c r="R160" t="s">
        <v>58</v>
      </c>
      <c r="S160" t="s">
        <v>66</v>
      </c>
      <c r="T160" t="s">
        <v>105</v>
      </c>
      <c r="U160" t="s">
        <v>92</v>
      </c>
      <c r="V160" t="b">
        <v>1</v>
      </c>
      <c r="W160">
        <v>0</v>
      </c>
      <c r="X160">
        <v>0</v>
      </c>
      <c r="Y160" t="s">
        <v>14</v>
      </c>
    </row>
    <row r="161" spans="1:25">
      <c r="A161" t="s">
        <v>267</v>
      </c>
      <c r="B161" t="s">
        <v>267</v>
      </c>
      <c r="C161" t="s">
        <v>119</v>
      </c>
      <c r="D161" t="s">
        <v>120</v>
      </c>
      <c r="E161" s="3">
        <v>45902</v>
      </c>
      <c r="F161">
        <v>745.14</v>
      </c>
      <c r="G161" t="s">
        <v>56</v>
      </c>
      <c r="H161" t="s">
        <v>65</v>
      </c>
      <c r="I161" t="s">
        <v>58</v>
      </c>
      <c r="J161" t="s">
        <v>99</v>
      </c>
      <c r="K161" t="s">
        <v>138</v>
      </c>
      <c r="L161" t="s">
        <v>121</v>
      </c>
      <c r="M161" t="s">
        <v>122</v>
      </c>
      <c r="N161" s="3">
        <v>45902</v>
      </c>
      <c r="O161">
        <v>745.14</v>
      </c>
      <c r="P161" t="s">
        <v>56</v>
      </c>
      <c r="Q161" t="s">
        <v>65</v>
      </c>
      <c r="R161" t="s">
        <v>58</v>
      </c>
      <c r="S161" t="s">
        <v>99</v>
      </c>
      <c r="T161" t="s">
        <v>138</v>
      </c>
      <c r="U161" t="s">
        <v>119</v>
      </c>
      <c r="V161" t="b">
        <v>1</v>
      </c>
      <c r="W161">
        <v>0</v>
      </c>
      <c r="X161">
        <v>0</v>
      </c>
      <c r="Y161" t="s">
        <v>14</v>
      </c>
    </row>
    <row r="162" spans="1:25">
      <c r="A162" t="s">
        <v>268</v>
      </c>
      <c r="B162" t="s">
        <v>268</v>
      </c>
      <c r="C162" t="s">
        <v>150</v>
      </c>
      <c r="D162" t="s">
        <v>151</v>
      </c>
      <c r="E162" s="3">
        <v>45859</v>
      </c>
      <c r="F162">
        <v>-267.67</v>
      </c>
      <c r="G162" t="s">
        <v>56</v>
      </c>
      <c r="H162" t="s">
        <v>80</v>
      </c>
      <c r="I162" t="s">
        <v>58</v>
      </c>
      <c r="J162" t="s">
        <v>85</v>
      </c>
      <c r="K162" t="s">
        <v>105</v>
      </c>
      <c r="L162" t="s">
        <v>152</v>
      </c>
      <c r="M162" t="s">
        <v>153</v>
      </c>
      <c r="N162" s="3">
        <v>45859</v>
      </c>
      <c r="O162">
        <v>-267.67</v>
      </c>
      <c r="P162" t="s">
        <v>56</v>
      </c>
      <c r="Q162" t="s">
        <v>80</v>
      </c>
      <c r="R162" t="s">
        <v>58</v>
      </c>
      <c r="S162" t="s">
        <v>85</v>
      </c>
      <c r="T162" t="s">
        <v>105</v>
      </c>
      <c r="U162" t="s">
        <v>150</v>
      </c>
      <c r="V162" t="b">
        <v>1</v>
      </c>
      <c r="W162">
        <v>0</v>
      </c>
      <c r="X162">
        <v>0</v>
      </c>
      <c r="Y162" t="s">
        <v>14</v>
      </c>
    </row>
    <row r="163" spans="1:25">
      <c r="A163" t="s">
        <v>269</v>
      </c>
      <c r="B163" t="s">
        <v>269</v>
      </c>
      <c r="C163" t="s">
        <v>87</v>
      </c>
      <c r="D163" t="s">
        <v>88</v>
      </c>
      <c r="E163" s="3">
        <v>45909</v>
      </c>
      <c r="F163">
        <v>-602.95000000000005</v>
      </c>
      <c r="G163" t="s">
        <v>56</v>
      </c>
      <c r="H163" t="s">
        <v>80</v>
      </c>
      <c r="I163" t="s">
        <v>77</v>
      </c>
      <c r="J163" t="s">
        <v>109</v>
      </c>
      <c r="K163" t="s">
        <v>138</v>
      </c>
      <c r="L163" t="s">
        <v>89</v>
      </c>
      <c r="M163" t="s">
        <v>90</v>
      </c>
      <c r="N163" s="3">
        <v>45908</v>
      </c>
      <c r="O163">
        <v>-584.4</v>
      </c>
      <c r="P163" t="s">
        <v>56</v>
      </c>
      <c r="Q163" t="s">
        <v>80</v>
      </c>
      <c r="R163" t="s">
        <v>77</v>
      </c>
      <c r="S163" t="s">
        <v>109</v>
      </c>
      <c r="T163" t="s">
        <v>138</v>
      </c>
      <c r="U163" t="s">
        <v>87</v>
      </c>
      <c r="V163" t="b">
        <v>1</v>
      </c>
      <c r="W163">
        <v>-18.55</v>
      </c>
      <c r="X163">
        <v>1</v>
      </c>
      <c r="Y163" t="s">
        <v>17</v>
      </c>
    </row>
    <row r="164" spans="1:25">
      <c r="A164" t="s">
        <v>270</v>
      </c>
      <c r="B164" t="s">
        <v>270</v>
      </c>
      <c r="C164" t="s">
        <v>150</v>
      </c>
      <c r="D164" t="s">
        <v>151</v>
      </c>
      <c r="E164" s="3">
        <v>45896</v>
      </c>
      <c r="F164">
        <v>-965.01</v>
      </c>
      <c r="G164" t="s">
        <v>56</v>
      </c>
      <c r="H164" t="s">
        <v>65</v>
      </c>
      <c r="I164" t="s">
        <v>58</v>
      </c>
      <c r="K164" t="s">
        <v>67</v>
      </c>
      <c r="L164" t="s">
        <v>152</v>
      </c>
      <c r="M164" t="s">
        <v>153</v>
      </c>
      <c r="N164" s="3">
        <v>45894</v>
      </c>
      <c r="O164">
        <v>-949.08</v>
      </c>
      <c r="P164" t="s">
        <v>56</v>
      </c>
      <c r="Q164" t="s">
        <v>65</v>
      </c>
      <c r="R164" t="s">
        <v>58</v>
      </c>
      <c r="T164" t="s">
        <v>67</v>
      </c>
      <c r="U164" t="s">
        <v>150</v>
      </c>
      <c r="V164" t="b">
        <v>1</v>
      </c>
      <c r="W164">
        <v>-15.93</v>
      </c>
      <c r="X164">
        <v>2</v>
      </c>
      <c r="Y164" t="s">
        <v>17</v>
      </c>
    </row>
    <row r="165" spans="1:25">
      <c r="A165" t="s">
        <v>271</v>
      </c>
      <c r="B165" t="s">
        <v>271</v>
      </c>
      <c r="C165" t="s">
        <v>92</v>
      </c>
      <c r="D165" t="s">
        <v>93</v>
      </c>
      <c r="E165" s="3">
        <v>45887</v>
      </c>
      <c r="F165">
        <v>-125.68</v>
      </c>
      <c r="G165" t="s">
        <v>56</v>
      </c>
      <c r="H165" t="s">
        <v>57</v>
      </c>
      <c r="I165" t="s">
        <v>77</v>
      </c>
      <c r="J165" t="s">
        <v>109</v>
      </c>
      <c r="K165" t="s">
        <v>59</v>
      </c>
      <c r="L165" t="s">
        <v>125</v>
      </c>
      <c r="M165" t="s">
        <v>126</v>
      </c>
      <c r="N165" s="3">
        <v>45887</v>
      </c>
      <c r="O165">
        <v>-125.68</v>
      </c>
      <c r="P165" t="s">
        <v>56</v>
      </c>
      <c r="Q165" t="s">
        <v>57</v>
      </c>
      <c r="R165" t="s">
        <v>77</v>
      </c>
      <c r="S165" t="s">
        <v>109</v>
      </c>
      <c r="T165" t="s">
        <v>59</v>
      </c>
      <c r="U165" t="s">
        <v>92</v>
      </c>
      <c r="V165" t="b">
        <v>1</v>
      </c>
      <c r="W165">
        <v>0</v>
      </c>
      <c r="X165">
        <v>0</v>
      </c>
      <c r="Y165" t="s">
        <v>14</v>
      </c>
    </row>
    <row r="166" spans="1:25">
      <c r="A166" t="s">
        <v>272</v>
      </c>
      <c r="B166" t="s">
        <v>272</v>
      </c>
      <c r="C166" t="s">
        <v>150</v>
      </c>
      <c r="D166" t="s">
        <v>151</v>
      </c>
      <c r="E166" s="3">
        <v>45897</v>
      </c>
      <c r="F166">
        <v>619.08000000000004</v>
      </c>
      <c r="G166" t="s">
        <v>56</v>
      </c>
      <c r="H166" t="s">
        <v>65</v>
      </c>
      <c r="I166" t="s">
        <v>77</v>
      </c>
      <c r="J166" t="s">
        <v>109</v>
      </c>
      <c r="K166" t="s">
        <v>138</v>
      </c>
      <c r="L166" t="s">
        <v>152</v>
      </c>
      <c r="M166" t="s">
        <v>153</v>
      </c>
      <c r="N166" s="3">
        <v>45897</v>
      </c>
      <c r="O166">
        <v>619.08000000000004</v>
      </c>
      <c r="P166" t="s">
        <v>56</v>
      </c>
      <c r="Q166" t="s">
        <v>65</v>
      </c>
      <c r="R166" t="s">
        <v>77</v>
      </c>
      <c r="S166" t="s">
        <v>109</v>
      </c>
      <c r="T166" t="s">
        <v>138</v>
      </c>
      <c r="U166" t="s">
        <v>150</v>
      </c>
      <c r="V166" t="b">
        <v>1</v>
      </c>
      <c r="W166">
        <v>0</v>
      </c>
      <c r="X166">
        <v>0</v>
      </c>
      <c r="Y166" t="s">
        <v>14</v>
      </c>
    </row>
    <row r="167" spans="1:25">
      <c r="A167" t="s">
        <v>273</v>
      </c>
      <c r="B167" t="s">
        <v>273</v>
      </c>
      <c r="C167" t="s">
        <v>71</v>
      </c>
      <c r="D167" t="s">
        <v>72</v>
      </c>
      <c r="E167" s="3">
        <v>45875</v>
      </c>
      <c r="F167">
        <v>778.07</v>
      </c>
      <c r="G167" t="s">
        <v>56</v>
      </c>
      <c r="H167" t="s">
        <v>73</v>
      </c>
      <c r="I167" t="s">
        <v>58</v>
      </c>
      <c r="J167" t="s">
        <v>99</v>
      </c>
      <c r="K167" t="s">
        <v>105</v>
      </c>
      <c r="L167" t="s">
        <v>74</v>
      </c>
      <c r="M167" t="s">
        <v>75</v>
      </c>
      <c r="N167" s="3">
        <v>45875</v>
      </c>
      <c r="O167">
        <v>778.07</v>
      </c>
      <c r="P167" t="s">
        <v>56</v>
      </c>
      <c r="Q167" t="s">
        <v>73</v>
      </c>
      <c r="R167" t="s">
        <v>58</v>
      </c>
      <c r="S167" t="s">
        <v>99</v>
      </c>
      <c r="T167" t="s">
        <v>105</v>
      </c>
      <c r="U167" t="s">
        <v>71</v>
      </c>
      <c r="V167" t="b">
        <v>1</v>
      </c>
      <c r="W167">
        <v>0</v>
      </c>
      <c r="X167">
        <v>0</v>
      </c>
      <c r="Y167" t="s">
        <v>14</v>
      </c>
    </row>
    <row r="168" spans="1:25">
      <c r="A168" t="s">
        <v>274</v>
      </c>
      <c r="B168" t="s">
        <v>274</v>
      </c>
      <c r="C168" t="s">
        <v>119</v>
      </c>
      <c r="D168" t="s">
        <v>120</v>
      </c>
      <c r="E168" s="3">
        <v>45913</v>
      </c>
      <c r="F168">
        <v>-325.85000000000002</v>
      </c>
      <c r="G168" t="s">
        <v>56</v>
      </c>
      <c r="H168" t="s">
        <v>73</v>
      </c>
      <c r="I168" t="s">
        <v>58</v>
      </c>
      <c r="L168" t="s">
        <v>121</v>
      </c>
      <c r="M168" t="s">
        <v>122</v>
      </c>
      <c r="N168" s="3">
        <v>45914</v>
      </c>
      <c r="O168">
        <v>-325.97000000000003</v>
      </c>
      <c r="P168" t="s">
        <v>56</v>
      </c>
      <c r="Q168" t="s">
        <v>73</v>
      </c>
      <c r="R168" t="s">
        <v>58</v>
      </c>
      <c r="U168" t="s">
        <v>119</v>
      </c>
      <c r="V168" t="b">
        <v>1</v>
      </c>
      <c r="W168">
        <v>0.12</v>
      </c>
      <c r="X168">
        <v>-1</v>
      </c>
      <c r="Y168" t="s">
        <v>15</v>
      </c>
    </row>
    <row r="169" spans="1:25">
      <c r="A169" t="s">
        <v>275</v>
      </c>
      <c r="B169" t="s">
        <v>275</v>
      </c>
      <c r="C169" t="s">
        <v>54</v>
      </c>
      <c r="D169" t="s">
        <v>55</v>
      </c>
      <c r="E169" s="3">
        <v>45898</v>
      </c>
      <c r="F169">
        <v>-645.74</v>
      </c>
      <c r="G169" t="s">
        <v>56</v>
      </c>
      <c r="H169" t="s">
        <v>73</v>
      </c>
      <c r="I169" t="s">
        <v>97</v>
      </c>
      <c r="J169" t="s">
        <v>66</v>
      </c>
      <c r="K169" t="s">
        <v>67</v>
      </c>
      <c r="L169" t="s">
        <v>60</v>
      </c>
      <c r="M169" t="s">
        <v>61</v>
      </c>
      <c r="N169" s="3">
        <v>45898</v>
      </c>
      <c r="O169">
        <v>-645.74</v>
      </c>
      <c r="P169" t="s">
        <v>56</v>
      </c>
      <c r="Q169" t="s">
        <v>73</v>
      </c>
      <c r="R169" t="s">
        <v>97</v>
      </c>
      <c r="S169" t="s">
        <v>66</v>
      </c>
      <c r="T169" t="s">
        <v>67</v>
      </c>
      <c r="U169" t="s">
        <v>54</v>
      </c>
      <c r="V169" t="b">
        <v>1</v>
      </c>
      <c r="W169">
        <v>0</v>
      </c>
      <c r="X169">
        <v>0</v>
      </c>
      <c r="Y169" t="s">
        <v>14</v>
      </c>
    </row>
    <row r="170" spans="1:25">
      <c r="A170" t="s">
        <v>276</v>
      </c>
      <c r="B170" t="s">
        <v>276</v>
      </c>
      <c r="C170" t="s">
        <v>150</v>
      </c>
      <c r="D170" t="s">
        <v>151</v>
      </c>
      <c r="E170" s="3">
        <v>45884</v>
      </c>
      <c r="F170">
        <v>-232.28</v>
      </c>
      <c r="G170" t="s">
        <v>56</v>
      </c>
      <c r="H170" t="s">
        <v>57</v>
      </c>
      <c r="I170" t="s">
        <v>77</v>
      </c>
      <c r="J170" t="s">
        <v>85</v>
      </c>
      <c r="K170" t="s">
        <v>138</v>
      </c>
      <c r="L170" t="s">
        <v>152</v>
      </c>
      <c r="M170" t="s">
        <v>153</v>
      </c>
      <c r="N170" s="3">
        <v>45884</v>
      </c>
      <c r="O170">
        <v>-232.28</v>
      </c>
      <c r="P170" t="s">
        <v>56</v>
      </c>
      <c r="Q170" t="s">
        <v>57</v>
      </c>
      <c r="R170" t="s">
        <v>77</v>
      </c>
      <c r="S170" t="s">
        <v>85</v>
      </c>
      <c r="T170" t="s">
        <v>138</v>
      </c>
      <c r="U170" t="s">
        <v>150</v>
      </c>
      <c r="V170" t="b">
        <v>1</v>
      </c>
      <c r="W170">
        <v>0</v>
      </c>
      <c r="X170">
        <v>0</v>
      </c>
      <c r="Y170" t="s">
        <v>14</v>
      </c>
    </row>
    <row r="171" spans="1:25">
      <c r="A171" t="s">
        <v>277</v>
      </c>
      <c r="B171" t="s">
        <v>277</v>
      </c>
      <c r="C171" t="s">
        <v>92</v>
      </c>
      <c r="D171" t="s">
        <v>93</v>
      </c>
      <c r="E171" s="3">
        <v>45906</v>
      </c>
      <c r="F171">
        <v>-296.95</v>
      </c>
      <c r="G171" t="s">
        <v>56</v>
      </c>
      <c r="H171" t="s">
        <v>57</v>
      </c>
      <c r="I171" t="s">
        <v>58</v>
      </c>
      <c r="J171" t="s">
        <v>85</v>
      </c>
      <c r="K171" t="s">
        <v>78</v>
      </c>
      <c r="L171" t="s">
        <v>94</v>
      </c>
      <c r="M171" t="s">
        <v>95</v>
      </c>
      <c r="N171" s="3">
        <v>45906</v>
      </c>
      <c r="O171">
        <v>-296.95</v>
      </c>
      <c r="P171" t="s">
        <v>56</v>
      </c>
      <c r="Q171" t="s">
        <v>57</v>
      </c>
      <c r="R171" t="s">
        <v>58</v>
      </c>
      <c r="S171" t="s">
        <v>85</v>
      </c>
      <c r="T171" t="s">
        <v>78</v>
      </c>
      <c r="U171" t="s">
        <v>92</v>
      </c>
      <c r="V171" t="b">
        <v>1</v>
      </c>
      <c r="W171">
        <v>0</v>
      </c>
      <c r="X171">
        <v>0</v>
      </c>
      <c r="Y171" t="s">
        <v>14</v>
      </c>
    </row>
    <row r="172" spans="1:25">
      <c r="A172" t="s">
        <v>278</v>
      </c>
      <c r="B172" t="s">
        <v>278</v>
      </c>
      <c r="C172" t="s">
        <v>71</v>
      </c>
      <c r="D172" t="s">
        <v>72</v>
      </c>
      <c r="E172" s="3">
        <v>45862</v>
      </c>
      <c r="F172">
        <v>295.73</v>
      </c>
      <c r="G172" t="s">
        <v>56</v>
      </c>
      <c r="H172" t="s">
        <v>80</v>
      </c>
      <c r="I172" t="s">
        <v>97</v>
      </c>
      <c r="J172" t="s">
        <v>81</v>
      </c>
      <c r="K172" t="s">
        <v>138</v>
      </c>
      <c r="L172" t="s">
        <v>74</v>
      </c>
      <c r="M172" t="s">
        <v>75</v>
      </c>
      <c r="N172" s="3">
        <v>45862</v>
      </c>
      <c r="O172">
        <v>295.73</v>
      </c>
      <c r="P172" t="s">
        <v>56</v>
      </c>
      <c r="Q172" t="s">
        <v>80</v>
      </c>
      <c r="R172" t="s">
        <v>97</v>
      </c>
      <c r="S172" t="s">
        <v>81</v>
      </c>
      <c r="T172" t="s">
        <v>138</v>
      </c>
      <c r="U172" t="s">
        <v>71</v>
      </c>
      <c r="V172" t="b">
        <v>1</v>
      </c>
      <c r="W172">
        <v>0</v>
      </c>
      <c r="X172">
        <v>0</v>
      </c>
      <c r="Y172" t="s">
        <v>14</v>
      </c>
    </row>
    <row r="173" spans="1:25">
      <c r="A173" t="s">
        <v>279</v>
      </c>
      <c r="B173" t="s">
        <v>279</v>
      </c>
      <c r="C173" t="s">
        <v>87</v>
      </c>
      <c r="D173" t="s">
        <v>88</v>
      </c>
      <c r="E173" s="3">
        <v>45867</v>
      </c>
      <c r="F173">
        <v>548.08000000000004</v>
      </c>
      <c r="G173" t="s">
        <v>56</v>
      </c>
      <c r="H173" t="s">
        <v>57</v>
      </c>
      <c r="I173" t="s">
        <v>58</v>
      </c>
      <c r="J173" t="s">
        <v>117</v>
      </c>
      <c r="K173" t="s">
        <v>67</v>
      </c>
      <c r="L173" t="s">
        <v>100</v>
      </c>
      <c r="M173" t="s">
        <v>101</v>
      </c>
      <c r="N173" s="3">
        <v>45867</v>
      </c>
      <c r="O173">
        <v>548.08000000000004</v>
      </c>
      <c r="P173" t="s">
        <v>56</v>
      </c>
      <c r="Q173" t="s">
        <v>57</v>
      </c>
      <c r="R173" t="s">
        <v>58</v>
      </c>
      <c r="S173" t="s">
        <v>117</v>
      </c>
      <c r="T173" t="s">
        <v>67</v>
      </c>
      <c r="U173" t="s">
        <v>87</v>
      </c>
      <c r="V173" t="b">
        <v>1</v>
      </c>
      <c r="W173">
        <v>0</v>
      </c>
      <c r="X173">
        <v>0</v>
      </c>
      <c r="Y173" t="s">
        <v>14</v>
      </c>
    </row>
    <row r="174" spans="1:25">
      <c r="A174" t="s">
        <v>280</v>
      </c>
      <c r="B174" t="s">
        <v>280</v>
      </c>
      <c r="C174" t="s">
        <v>87</v>
      </c>
      <c r="D174" t="s">
        <v>88</v>
      </c>
      <c r="E174" s="3">
        <v>45876</v>
      </c>
      <c r="F174">
        <v>-477.25</v>
      </c>
      <c r="G174" t="s">
        <v>56</v>
      </c>
      <c r="H174" t="s">
        <v>57</v>
      </c>
      <c r="I174" t="s">
        <v>77</v>
      </c>
      <c r="J174" t="s">
        <v>99</v>
      </c>
      <c r="K174" t="s">
        <v>107</v>
      </c>
      <c r="L174" t="s">
        <v>89</v>
      </c>
      <c r="M174" t="s">
        <v>90</v>
      </c>
      <c r="N174" s="3">
        <v>45876</v>
      </c>
      <c r="O174">
        <v>-477.25</v>
      </c>
      <c r="P174" t="s">
        <v>56</v>
      </c>
      <c r="Q174" t="s">
        <v>57</v>
      </c>
      <c r="R174" t="s">
        <v>77</v>
      </c>
      <c r="S174" t="s">
        <v>99</v>
      </c>
      <c r="T174" t="s">
        <v>107</v>
      </c>
      <c r="U174" t="s">
        <v>87</v>
      </c>
      <c r="V174" t="b">
        <v>1</v>
      </c>
      <c r="W174">
        <v>0</v>
      </c>
      <c r="X174">
        <v>0</v>
      </c>
      <c r="Y174" t="s">
        <v>14</v>
      </c>
    </row>
    <row r="175" spans="1:25">
      <c r="A175" t="s">
        <v>281</v>
      </c>
      <c r="B175" t="s">
        <v>281</v>
      </c>
      <c r="C175" t="s">
        <v>119</v>
      </c>
      <c r="D175" t="s">
        <v>120</v>
      </c>
      <c r="E175" s="3">
        <v>45916</v>
      </c>
      <c r="F175">
        <v>738.53</v>
      </c>
      <c r="G175" t="s">
        <v>56</v>
      </c>
      <c r="H175" t="s">
        <v>57</v>
      </c>
      <c r="I175" t="s">
        <v>97</v>
      </c>
      <c r="J175" t="s">
        <v>109</v>
      </c>
      <c r="L175" t="s">
        <v>121</v>
      </c>
      <c r="M175" t="s">
        <v>122</v>
      </c>
      <c r="N175" s="3">
        <v>45917</v>
      </c>
      <c r="O175">
        <v>737.16</v>
      </c>
      <c r="P175" t="s">
        <v>56</v>
      </c>
      <c r="Q175" t="s">
        <v>57</v>
      </c>
      <c r="R175" t="s">
        <v>97</v>
      </c>
      <c r="S175" t="s">
        <v>109</v>
      </c>
      <c r="U175" t="s">
        <v>119</v>
      </c>
      <c r="V175" t="b">
        <v>1</v>
      </c>
      <c r="W175">
        <v>1.37</v>
      </c>
      <c r="X175">
        <v>-1</v>
      </c>
      <c r="Y175" t="s">
        <v>17</v>
      </c>
    </row>
    <row r="176" spans="1:25">
      <c r="A176" t="s">
        <v>282</v>
      </c>
      <c r="B176" t="s">
        <v>282</v>
      </c>
      <c r="C176" t="s">
        <v>87</v>
      </c>
      <c r="D176" t="s">
        <v>88</v>
      </c>
      <c r="E176" s="3">
        <v>45896</v>
      </c>
      <c r="F176">
        <v>264.93</v>
      </c>
      <c r="G176" t="s">
        <v>56</v>
      </c>
      <c r="H176" t="s">
        <v>65</v>
      </c>
      <c r="I176" t="s">
        <v>77</v>
      </c>
      <c r="J176" t="s">
        <v>81</v>
      </c>
      <c r="K176" t="s">
        <v>59</v>
      </c>
      <c r="L176" t="s">
        <v>89</v>
      </c>
      <c r="M176" t="s">
        <v>90</v>
      </c>
      <c r="N176" s="3">
        <v>45896</v>
      </c>
      <c r="O176">
        <v>264.93</v>
      </c>
      <c r="P176" t="s">
        <v>56</v>
      </c>
      <c r="Q176" t="s">
        <v>65</v>
      </c>
      <c r="R176" t="s">
        <v>77</v>
      </c>
      <c r="S176" t="s">
        <v>81</v>
      </c>
      <c r="T176" t="s">
        <v>59</v>
      </c>
      <c r="U176" t="s">
        <v>87</v>
      </c>
      <c r="V176" t="b">
        <v>1</v>
      </c>
      <c r="W176">
        <v>0</v>
      </c>
      <c r="X176">
        <v>0</v>
      </c>
      <c r="Y176" t="s">
        <v>14</v>
      </c>
    </row>
    <row r="177" spans="1:25">
      <c r="A177" t="s">
        <v>283</v>
      </c>
      <c r="B177" t="s">
        <v>283</v>
      </c>
      <c r="C177" t="s">
        <v>87</v>
      </c>
      <c r="D177" t="s">
        <v>88</v>
      </c>
      <c r="E177" s="3">
        <v>45859</v>
      </c>
      <c r="F177">
        <v>-467.18</v>
      </c>
      <c r="G177" t="s">
        <v>56</v>
      </c>
      <c r="H177" t="s">
        <v>65</v>
      </c>
      <c r="I177" t="s">
        <v>77</v>
      </c>
      <c r="J177" t="s">
        <v>99</v>
      </c>
      <c r="K177" t="s">
        <v>107</v>
      </c>
      <c r="L177" t="s">
        <v>89</v>
      </c>
      <c r="M177" t="s">
        <v>90</v>
      </c>
      <c r="N177" s="3">
        <v>45859</v>
      </c>
      <c r="O177">
        <v>-467.18</v>
      </c>
      <c r="P177" t="s">
        <v>56</v>
      </c>
      <c r="Q177" t="s">
        <v>65</v>
      </c>
      <c r="R177" t="s">
        <v>77</v>
      </c>
      <c r="S177" t="s">
        <v>99</v>
      </c>
      <c r="T177" t="s">
        <v>107</v>
      </c>
      <c r="U177" t="s">
        <v>87</v>
      </c>
      <c r="V177" t="b">
        <v>1</v>
      </c>
      <c r="W177">
        <v>0</v>
      </c>
      <c r="X177">
        <v>0</v>
      </c>
      <c r="Y177" t="s">
        <v>14</v>
      </c>
    </row>
    <row r="178" spans="1:25">
      <c r="A178" t="s">
        <v>284</v>
      </c>
      <c r="B178" t="s">
        <v>284</v>
      </c>
      <c r="C178" t="s">
        <v>150</v>
      </c>
      <c r="D178" t="s">
        <v>151</v>
      </c>
      <c r="E178" s="3">
        <v>45872</v>
      </c>
      <c r="F178">
        <v>740.27</v>
      </c>
      <c r="G178" t="s">
        <v>56</v>
      </c>
      <c r="H178" t="s">
        <v>65</v>
      </c>
      <c r="I178" t="s">
        <v>58</v>
      </c>
      <c r="J178" t="s">
        <v>85</v>
      </c>
      <c r="L178" t="s">
        <v>152</v>
      </c>
      <c r="M178" t="s">
        <v>153</v>
      </c>
      <c r="N178" s="3">
        <v>45871</v>
      </c>
      <c r="O178">
        <v>747.94</v>
      </c>
      <c r="P178" t="s">
        <v>56</v>
      </c>
      <c r="Q178" t="s">
        <v>65</v>
      </c>
      <c r="R178" t="s">
        <v>58</v>
      </c>
      <c r="S178" t="s">
        <v>85</v>
      </c>
      <c r="U178" t="s">
        <v>150</v>
      </c>
      <c r="V178" t="b">
        <v>1</v>
      </c>
      <c r="W178">
        <v>-7.67</v>
      </c>
      <c r="X178">
        <v>1</v>
      </c>
      <c r="Y178" t="s">
        <v>17</v>
      </c>
    </row>
    <row r="179" spans="1:25">
      <c r="A179" t="s">
        <v>285</v>
      </c>
      <c r="B179" t="s">
        <v>285</v>
      </c>
      <c r="C179" t="s">
        <v>63</v>
      </c>
      <c r="D179" t="s">
        <v>64</v>
      </c>
      <c r="E179" s="3">
        <v>45899</v>
      </c>
      <c r="F179">
        <v>640.19000000000005</v>
      </c>
      <c r="G179" t="s">
        <v>56</v>
      </c>
      <c r="H179" t="s">
        <v>57</v>
      </c>
      <c r="I179" t="s">
        <v>77</v>
      </c>
      <c r="J179" t="s">
        <v>85</v>
      </c>
      <c r="K179" t="s">
        <v>67</v>
      </c>
      <c r="L179" t="s">
        <v>82</v>
      </c>
      <c r="M179" t="s">
        <v>83</v>
      </c>
      <c r="N179" s="3">
        <v>45899</v>
      </c>
      <c r="O179">
        <v>640.19000000000005</v>
      </c>
      <c r="P179" t="s">
        <v>56</v>
      </c>
      <c r="Q179" t="s">
        <v>57</v>
      </c>
      <c r="R179" t="s">
        <v>77</v>
      </c>
      <c r="S179" t="s">
        <v>85</v>
      </c>
      <c r="T179" t="s">
        <v>67</v>
      </c>
      <c r="U179" t="s">
        <v>63</v>
      </c>
      <c r="V179" t="b">
        <v>1</v>
      </c>
      <c r="W179">
        <v>0</v>
      </c>
      <c r="X179">
        <v>0</v>
      </c>
      <c r="Y179" t="s">
        <v>14</v>
      </c>
    </row>
    <row r="180" spans="1:25">
      <c r="A180" t="s">
        <v>286</v>
      </c>
      <c r="B180" t="s">
        <v>286</v>
      </c>
      <c r="C180" t="s">
        <v>92</v>
      </c>
      <c r="D180" t="s">
        <v>93</v>
      </c>
      <c r="E180" s="3">
        <v>45911</v>
      </c>
      <c r="F180">
        <v>168.84</v>
      </c>
      <c r="G180" t="s">
        <v>56</v>
      </c>
      <c r="H180" t="s">
        <v>80</v>
      </c>
      <c r="I180" t="s">
        <v>77</v>
      </c>
      <c r="J180" t="s">
        <v>99</v>
      </c>
      <c r="K180" t="s">
        <v>59</v>
      </c>
      <c r="L180" t="s">
        <v>125</v>
      </c>
      <c r="M180" t="s">
        <v>126</v>
      </c>
      <c r="N180" s="3">
        <v>45911</v>
      </c>
      <c r="O180">
        <v>168.84</v>
      </c>
      <c r="P180" t="s">
        <v>56</v>
      </c>
      <c r="Q180" t="s">
        <v>80</v>
      </c>
      <c r="R180" t="s">
        <v>77</v>
      </c>
      <c r="S180" t="s">
        <v>99</v>
      </c>
      <c r="T180" t="s">
        <v>59</v>
      </c>
      <c r="U180" t="s">
        <v>92</v>
      </c>
      <c r="V180" t="b">
        <v>1</v>
      </c>
      <c r="W180">
        <v>0</v>
      </c>
      <c r="X180">
        <v>0</v>
      </c>
      <c r="Y180" t="s">
        <v>14</v>
      </c>
    </row>
    <row r="181" spans="1:25">
      <c r="A181" t="s">
        <v>287</v>
      </c>
      <c r="B181" t="s">
        <v>287</v>
      </c>
      <c r="C181" t="s">
        <v>87</v>
      </c>
      <c r="D181" t="s">
        <v>88</v>
      </c>
      <c r="E181" s="3">
        <v>45884</v>
      </c>
      <c r="F181">
        <v>-666.3</v>
      </c>
      <c r="G181" t="s">
        <v>56</v>
      </c>
      <c r="H181" t="s">
        <v>80</v>
      </c>
      <c r="I181" t="s">
        <v>77</v>
      </c>
      <c r="J181" t="s">
        <v>85</v>
      </c>
      <c r="K181" t="s">
        <v>67</v>
      </c>
      <c r="L181" t="s">
        <v>89</v>
      </c>
      <c r="M181" t="s">
        <v>90</v>
      </c>
      <c r="N181" s="3">
        <v>45884</v>
      </c>
      <c r="O181">
        <v>-666.26</v>
      </c>
      <c r="P181" t="s">
        <v>56</v>
      </c>
      <c r="Q181" t="s">
        <v>80</v>
      </c>
      <c r="R181" t="s">
        <v>77</v>
      </c>
      <c r="S181" t="s">
        <v>85</v>
      </c>
      <c r="T181" t="s">
        <v>67</v>
      </c>
      <c r="U181" t="s">
        <v>87</v>
      </c>
      <c r="V181" t="b">
        <v>1</v>
      </c>
      <c r="W181">
        <v>-0.04</v>
      </c>
      <c r="X181">
        <v>0</v>
      </c>
      <c r="Y181" t="s">
        <v>15</v>
      </c>
    </row>
    <row r="182" spans="1:25">
      <c r="A182" t="s">
        <v>288</v>
      </c>
      <c r="B182" t="s">
        <v>288</v>
      </c>
      <c r="C182" t="s">
        <v>150</v>
      </c>
      <c r="D182" t="s">
        <v>151</v>
      </c>
      <c r="E182" s="3">
        <v>45858</v>
      </c>
      <c r="F182">
        <v>-380.4</v>
      </c>
      <c r="G182" t="s">
        <v>56</v>
      </c>
      <c r="H182" t="s">
        <v>73</v>
      </c>
      <c r="I182" t="s">
        <v>77</v>
      </c>
      <c r="J182" t="s">
        <v>81</v>
      </c>
      <c r="K182" t="s">
        <v>67</v>
      </c>
      <c r="L182" t="s">
        <v>152</v>
      </c>
      <c r="M182" t="s">
        <v>153</v>
      </c>
      <c r="N182" s="3">
        <v>45858</v>
      </c>
      <c r="O182">
        <v>-381.78</v>
      </c>
      <c r="P182" t="s">
        <v>56</v>
      </c>
      <c r="Q182" t="s">
        <v>73</v>
      </c>
      <c r="R182" t="s">
        <v>77</v>
      </c>
      <c r="S182" t="s">
        <v>81</v>
      </c>
      <c r="T182" t="s">
        <v>67</v>
      </c>
      <c r="U182" t="s">
        <v>150</v>
      </c>
      <c r="V182" t="b">
        <v>1</v>
      </c>
      <c r="W182">
        <v>1.38</v>
      </c>
      <c r="X182">
        <v>0</v>
      </c>
      <c r="Y182" t="s">
        <v>17</v>
      </c>
    </row>
    <row r="183" spans="1:25">
      <c r="A183" t="s">
        <v>289</v>
      </c>
      <c r="B183" t="s">
        <v>289</v>
      </c>
      <c r="C183" t="s">
        <v>119</v>
      </c>
      <c r="D183" t="s">
        <v>120</v>
      </c>
      <c r="E183" s="3">
        <v>45906</v>
      </c>
      <c r="F183">
        <v>596.35</v>
      </c>
      <c r="G183" t="s">
        <v>56</v>
      </c>
      <c r="H183" t="s">
        <v>65</v>
      </c>
      <c r="I183" t="s">
        <v>77</v>
      </c>
      <c r="J183" t="s">
        <v>117</v>
      </c>
      <c r="K183" t="s">
        <v>107</v>
      </c>
      <c r="L183" t="s">
        <v>121</v>
      </c>
      <c r="M183" t="s">
        <v>122</v>
      </c>
      <c r="N183" s="3">
        <v>45906</v>
      </c>
      <c r="O183">
        <v>596.35</v>
      </c>
      <c r="P183" t="s">
        <v>56</v>
      </c>
      <c r="Q183" t="s">
        <v>65</v>
      </c>
      <c r="R183" t="s">
        <v>77</v>
      </c>
      <c r="S183" t="s">
        <v>117</v>
      </c>
      <c r="T183" t="s">
        <v>107</v>
      </c>
      <c r="U183" t="s">
        <v>119</v>
      </c>
      <c r="V183" t="b">
        <v>1</v>
      </c>
      <c r="W183">
        <v>0</v>
      </c>
      <c r="X183">
        <v>0</v>
      </c>
      <c r="Y183" t="s">
        <v>14</v>
      </c>
    </row>
    <row r="184" spans="1:25">
      <c r="A184" t="s">
        <v>290</v>
      </c>
      <c r="B184" t="s">
        <v>290</v>
      </c>
      <c r="C184" t="s">
        <v>63</v>
      </c>
      <c r="D184" t="s">
        <v>64</v>
      </c>
      <c r="E184" s="3">
        <v>45865</v>
      </c>
      <c r="F184">
        <v>-575.16999999999996</v>
      </c>
      <c r="G184" t="s">
        <v>56</v>
      </c>
      <c r="H184" t="s">
        <v>80</v>
      </c>
      <c r="I184" t="s">
        <v>58</v>
      </c>
      <c r="K184" t="s">
        <v>67</v>
      </c>
      <c r="L184" t="s">
        <v>68</v>
      </c>
      <c r="M184" t="s">
        <v>69</v>
      </c>
      <c r="N184" s="3">
        <v>45867</v>
      </c>
      <c r="O184">
        <v>-575.13</v>
      </c>
      <c r="P184" t="s">
        <v>56</v>
      </c>
      <c r="Q184" t="s">
        <v>80</v>
      </c>
      <c r="R184" t="s">
        <v>58</v>
      </c>
      <c r="T184" t="s">
        <v>67</v>
      </c>
      <c r="U184" t="s">
        <v>63</v>
      </c>
      <c r="V184" t="b">
        <v>1</v>
      </c>
      <c r="W184">
        <v>-0.04</v>
      </c>
      <c r="X184">
        <v>-2</v>
      </c>
      <c r="Y184" t="s">
        <v>15</v>
      </c>
    </row>
    <row r="185" spans="1:25">
      <c r="A185" t="s">
        <v>291</v>
      </c>
      <c r="B185" t="s">
        <v>291</v>
      </c>
      <c r="C185" t="s">
        <v>92</v>
      </c>
      <c r="D185" t="s">
        <v>93</v>
      </c>
      <c r="E185" s="3">
        <v>45889</v>
      </c>
      <c r="F185">
        <v>804.83</v>
      </c>
      <c r="G185" t="s">
        <v>56</v>
      </c>
      <c r="H185" t="s">
        <v>57</v>
      </c>
      <c r="I185" t="s">
        <v>97</v>
      </c>
      <c r="J185" t="s">
        <v>66</v>
      </c>
      <c r="K185" t="s">
        <v>105</v>
      </c>
      <c r="L185" t="s">
        <v>125</v>
      </c>
      <c r="M185" t="s">
        <v>126</v>
      </c>
      <c r="N185" s="3">
        <v>45889</v>
      </c>
      <c r="O185">
        <v>804.71</v>
      </c>
      <c r="P185" t="s">
        <v>56</v>
      </c>
      <c r="Q185" t="s">
        <v>57</v>
      </c>
      <c r="R185" t="s">
        <v>97</v>
      </c>
      <c r="S185" t="s">
        <v>66</v>
      </c>
      <c r="T185" t="s">
        <v>105</v>
      </c>
      <c r="U185" t="s">
        <v>92</v>
      </c>
      <c r="V185" t="b">
        <v>1</v>
      </c>
      <c r="W185">
        <v>0.12</v>
      </c>
      <c r="X185">
        <v>0</v>
      </c>
      <c r="Y185" t="s">
        <v>15</v>
      </c>
    </row>
    <row r="186" spans="1:25">
      <c r="A186" t="s">
        <v>292</v>
      </c>
      <c r="B186" t="s">
        <v>292</v>
      </c>
      <c r="C186" t="s">
        <v>54</v>
      </c>
      <c r="D186" t="s">
        <v>55</v>
      </c>
      <c r="E186" s="3">
        <v>45906</v>
      </c>
      <c r="F186">
        <v>529.14</v>
      </c>
      <c r="G186" t="s">
        <v>56</v>
      </c>
      <c r="H186" t="s">
        <v>57</v>
      </c>
      <c r="I186" t="s">
        <v>58</v>
      </c>
      <c r="K186" t="s">
        <v>59</v>
      </c>
      <c r="L186" t="s">
        <v>60</v>
      </c>
      <c r="M186" t="s">
        <v>61</v>
      </c>
      <c r="N186" s="3">
        <v>45906</v>
      </c>
      <c r="O186">
        <v>529.14</v>
      </c>
      <c r="P186" t="s">
        <v>56</v>
      </c>
      <c r="Q186" t="s">
        <v>57</v>
      </c>
      <c r="R186" t="s">
        <v>58</v>
      </c>
      <c r="T186" t="s">
        <v>59</v>
      </c>
      <c r="U186" t="s">
        <v>54</v>
      </c>
      <c r="V186" t="b">
        <v>1</v>
      </c>
      <c r="W186">
        <v>0</v>
      </c>
      <c r="X186">
        <v>0</v>
      </c>
      <c r="Y186" t="s">
        <v>14</v>
      </c>
    </row>
    <row r="187" spans="1:25">
      <c r="A187" t="s">
        <v>293</v>
      </c>
      <c r="B187" t="s">
        <v>293</v>
      </c>
      <c r="C187" t="s">
        <v>71</v>
      </c>
      <c r="D187" t="s">
        <v>72</v>
      </c>
      <c r="E187" s="3">
        <v>45898</v>
      </c>
      <c r="F187">
        <v>36.549999999999997</v>
      </c>
      <c r="G187" t="s">
        <v>56</v>
      </c>
      <c r="H187" t="s">
        <v>65</v>
      </c>
      <c r="I187" t="s">
        <v>58</v>
      </c>
      <c r="K187" t="s">
        <v>107</v>
      </c>
      <c r="L187" t="s">
        <v>74</v>
      </c>
      <c r="M187" t="s">
        <v>75</v>
      </c>
      <c r="N187" s="3">
        <v>45898</v>
      </c>
      <c r="O187">
        <v>36.549999999999997</v>
      </c>
      <c r="P187" t="s">
        <v>56</v>
      </c>
      <c r="Q187" t="s">
        <v>65</v>
      </c>
      <c r="R187" t="s">
        <v>58</v>
      </c>
      <c r="T187" t="s">
        <v>107</v>
      </c>
      <c r="U187" t="s">
        <v>71</v>
      </c>
      <c r="V187" t="b">
        <v>1</v>
      </c>
      <c r="W187">
        <v>0</v>
      </c>
      <c r="X187">
        <v>0</v>
      </c>
      <c r="Y187" t="s">
        <v>14</v>
      </c>
    </row>
    <row r="188" spans="1:25">
      <c r="A188" t="s">
        <v>294</v>
      </c>
      <c r="B188" t="s">
        <v>294</v>
      </c>
      <c r="C188" t="s">
        <v>119</v>
      </c>
      <c r="D188" t="s">
        <v>120</v>
      </c>
      <c r="E188" s="3">
        <v>45903</v>
      </c>
      <c r="F188">
        <v>157.54</v>
      </c>
      <c r="G188" t="s">
        <v>56</v>
      </c>
      <c r="H188" t="s">
        <v>57</v>
      </c>
      <c r="I188" t="s">
        <v>97</v>
      </c>
      <c r="J188" t="s">
        <v>81</v>
      </c>
      <c r="K188" t="s">
        <v>67</v>
      </c>
      <c r="L188" t="s">
        <v>121</v>
      </c>
      <c r="M188" t="s">
        <v>122</v>
      </c>
      <c r="N188" s="3">
        <v>45903</v>
      </c>
      <c r="O188">
        <v>157.07</v>
      </c>
      <c r="P188" t="s">
        <v>56</v>
      </c>
      <c r="Q188" t="s">
        <v>57</v>
      </c>
      <c r="R188" t="s">
        <v>97</v>
      </c>
      <c r="S188" t="s">
        <v>81</v>
      </c>
      <c r="T188" t="s">
        <v>67</v>
      </c>
      <c r="U188" t="s">
        <v>119</v>
      </c>
      <c r="V188" t="b">
        <v>1</v>
      </c>
      <c r="W188">
        <v>0.47</v>
      </c>
      <c r="X188">
        <v>0</v>
      </c>
      <c r="Y188" t="s">
        <v>15</v>
      </c>
    </row>
    <row r="189" spans="1:25">
      <c r="A189" t="s">
        <v>295</v>
      </c>
      <c r="B189" t="s">
        <v>295</v>
      </c>
      <c r="C189" t="s">
        <v>87</v>
      </c>
      <c r="D189" t="s">
        <v>88</v>
      </c>
      <c r="E189" s="3">
        <v>45908</v>
      </c>
      <c r="F189">
        <v>682.79</v>
      </c>
      <c r="G189" t="s">
        <v>56</v>
      </c>
      <c r="H189" t="s">
        <v>65</v>
      </c>
      <c r="I189" t="s">
        <v>97</v>
      </c>
      <c r="J189" t="s">
        <v>66</v>
      </c>
      <c r="L189" t="s">
        <v>100</v>
      </c>
      <c r="M189" t="s">
        <v>101</v>
      </c>
      <c r="N189" s="3">
        <v>45908</v>
      </c>
      <c r="O189">
        <v>682.79</v>
      </c>
      <c r="P189" t="s">
        <v>56</v>
      </c>
      <c r="Q189" t="s">
        <v>65</v>
      </c>
      <c r="R189" t="s">
        <v>97</v>
      </c>
      <c r="S189" t="s">
        <v>66</v>
      </c>
      <c r="U189" t="s">
        <v>87</v>
      </c>
      <c r="V189" t="b">
        <v>1</v>
      </c>
      <c r="W189">
        <v>0</v>
      </c>
      <c r="X189">
        <v>0</v>
      </c>
      <c r="Y189" t="s">
        <v>14</v>
      </c>
    </row>
    <row r="190" spans="1:25">
      <c r="A190" t="s">
        <v>296</v>
      </c>
      <c r="B190" t="s">
        <v>296</v>
      </c>
      <c r="C190" t="s">
        <v>54</v>
      </c>
      <c r="D190" t="s">
        <v>55</v>
      </c>
      <c r="E190" s="3">
        <v>45896</v>
      </c>
      <c r="F190">
        <v>435.42</v>
      </c>
      <c r="G190" t="s">
        <v>56</v>
      </c>
      <c r="H190" t="s">
        <v>65</v>
      </c>
      <c r="I190" t="s">
        <v>103</v>
      </c>
      <c r="J190" t="s">
        <v>85</v>
      </c>
      <c r="K190" t="s">
        <v>138</v>
      </c>
      <c r="L190" t="s">
        <v>60</v>
      </c>
      <c r="M190" t="s">
        <v>61</v>
      </c>
      <c r="N190" s="3">
        <v>45896</v>
      </c>
      <c r="O190">
        <v>435.42</v>
      </c>
      <c r="P190" t="s">
        <v>56</v>
      </c>
      <c r="Q190" t="s">
        <v>65</v>
      </c>
      <c r="R190" t="s">
        <v>103</v>
      </c>
      <c r="S190" t="s">
        <v>85</v>
      </c>
      <c r="T190" t="s">
        <v>138</v>
      </c>
      <c r="U190" t="s">
        <v>54</v>
      </c>
      <c r="V190" t="b">
        <v>1</v>
      </c>
      <c r="W190">
        <v>0</v>
      </c>
      <c r="X190">
        <v>0</v>
      </c>
      <c r="Y190" t="s">
        <v>14</v>
      </c>
    </row>
    <row r="191" spans="1:25">
      <c r="A191" t="s">
        <v>297</v>
      </c>
      <c r="B191" t="s">
        <v>297</v>
      </c>
      <c r="C191" t="s">
        <v>92</v>
      </c>
      <c r="D191" t="s">
        <v>93</v>
      </c>
      <c r="E191" s="3">
        <v>45866</v>
      </c>
      <c r="F191">
        <v>-784.49</v>
      </c>
      <c r="G191" t="s">
        <v>56</v>
      </c>
      <c r="H191" t="s">
        <v>73</v>
      </c>
      <c r="I191" t="s">
        <v>97</v>
      </c>
      <c r="J191" t="s">
        <v>85</v>
      </c>
      <c r="K191" t="s">
        <v>138</v>
      </c>
      <c r="L191" t="s">
        <v>94</v>
      </c>
      <c r="M191" t="s">
        <v>95</v>
      </c>
      <c r="N191" s="3">
        <v>45866</v>
      </c>
      <c r="O191">
        <v>-784.49</v>
      </c>
      <c r="P191" t="s">
        <v>56</v>
      </c>
      <c r="Q191" t="s">
        <v>73</v>
      </c>
      <c r="R191" t="s">
        <v>97</v>
      </c>
      <c r="S191" t="s">
        <v>85</v>
      </c>
      <c r="T191" t="s">
        <v>138</v>
      </c>
      <c r="U191" t="s">
        <v>92</v>
      </c>
      <c r="V191" t="b">
        <v>1</v>
      </c>
      <c r="W191">
        <v>0</v>
      </c>
      <c r="X191">
        <v>0</v>
      </c>
      <c r="Y191" t="s">
        <v>14</v>
      </c>
    </row>
    <row r="192" spans="1:25">
      <c r="A192" t="s">
        <v>298</v>
      </c>
      <c r="B192" t="s">
        <v>298</v>
      </c>
      <c r="C192" t="s">
        <v>119</v>
      </c>
      <c r="D192" t="s">
        <v>120</v>
      </c>
      <c r="E192" s="3">
        <v>45889</v>
      </c>
      <c r="F192">
        <v>-568.36</v>
      </c>
      <c r="G192" t="s">
        <v>56</v>
      </c>
      <c r="H192" t="s">
        <v>80</v>
      </c>
      <c r="I192" t="s">
        <v>58</v>
      </c>
      <c r="J192" t="s">
        <v>81</v>
      </c>
      <c r="K192" t="s">
        <v>78</v>
      </c>
      <c r="L192" t="s">
        <v>121</v>
      </c>
      <c r="M192" t="s">
        <v>122</v>
      </c>
      <c r="N192" s="3">
        <v>45891</v>
      </c>
      <c r="O192">
        <v>-567.98</v>
      </c>
      <c r="P192" t="s">
        <v>56</v>
      </c>
      <c r="Q192" t="s">
        <v>80</v>
      </c>
      <c r="R192" t="s">
        <v>58</v>
      </c>
      <c r="S192" t="s">
        <v>81</v>
      </c>
      <c r="T192" t="s">
        <v>78</v>
      </c>
      <c r="U192" t="s">
        <v>119</v>
      </c>
      <c r="V192" t="b">
        <v>1</v>
      </c>
      <c r="W192">
        <v>-0.38</v>
      </c>
      <c r="X192">
        <v>-2</v>
      </c>
      <c r="Y192" t="s">
        <v>15</v>
      </c>
    </row>
    <row r="193" spans="1:25">
      <c r="A193" t="s">
        <v>299</v>
      </c>
      <c r="B193" t="s">
        <v>299</v>
      </c>
      <c r="C193" t="s">
        <v>71</v>
      </c>
      <c r="D193" t="s">
        <v>72</v>
      </c>
      <c r="E193" s="3">
        <v>45867</v>
      </c>
      <c r="F193">
        <v>312.73</v>
      </c>
      <c r="G193" t="s">
        <v>56</v>
      </c>
      <c r="H193" t="s">
        <v>80</v>
      </c>
      <c r="I193" t="s">
        <v>103</v>
      </c>
      <c r="J193" t="s">
        <v>117</v>
      </c>
      <c r="K193" t="s">
        <v>78</v>
      </c>
      <c r="L193" t="s">
        <v>74</v>
      </c>
      <c r="M193" t="s">
        <v>75</v>
      </c>
      <c r="N193" s="3">
        <v>45866</v>
      </c>
      <c r="O193">
        <v>313.33</v>
      </c>
      <c r="P193" t="s">
        <v>56</v>
      </c>
      <c r="Q193" t="s">
        <v>80</v>
      </c>
      <c r="R193" t="s">
        <v>103</v>
      </c>
      <c r="S193" t="s">
        <v>117</v>
      </c>
      <c r="T193" t="s">
        <v>78</v>
      </c>
      <c r="U193" t="s">
        <v>71</v>
      </c>
      <c r="V193" t="b">
        <v>1</v>
      </c>
      <c r="W193">
        <v>-0.6</v>
      </c>
      <c r="X193">
        <v>1</v>
      </c>
      <c r="Y193" t="s">
        <v>15</v>
      </c>
    </row>
    <row r="194" spans="1:25">
      <c r="A194" t="s">
        <v>300</v>
      </c>
      <c r="B194" t="s">
        <v>300</v>
      </c>
      <c r="C194" t="s">
        <v>87</v>
      </c>
      <c r="D194" t="s">
        <v>88</v>
      </c>
      <c r="E194" s="3">
        <v>45864</v>
      </c>
      <c r="F194">
        <v>770.6</v>
      </c>
      <c r="G194" t="s">
        <v>56</v>
      </c>
      <c r="H194" t="s">
        <v>57</v>
      </c>
      <c r="I194" t="s">
        <v>103</v>
      </c>
      <c r="K194" t="s">
        <v>67</v>
      </c>
      <c r="L194" t="s">
        <v>100</v>
      </c>
      <c r="M194" t="s">
        <v>101</v>
      </c>
      <c r="N194" s="3">
        <v>45864</v>
      </c>
      <c r="O194">
        <v>770.6</v>
      </c>
      <c r="P194" t="s">
        <v>56</v>
      </c>
      <c r="Q194" t="s">
        <v>57</v>
      </c>
      <c r="R194" t="s">
        <v>103</v>
      </c>
      <c r="T194" t="s">
        <v>67</v>
      </c>
      <c r="U194" t="s">
        <v>87</v>
      </c>
      <c r="V194" t="b">
        <v>1</v>
      </c>
      <c r="W194">
        <v>0</v>
      </c>
      <c r="X194">
        <v>0</v>
      </c>
      <c r="Y194" t="s">
        <v>14</v>
      </c>
    </row>
    <row r="195" spans="1:25">
      <c r="A195" t="s">
        <v>301</v>
      </c>
      <c r="B195" t="s">
        <v>301</v>
      </c>
      <c r="C195" t="s">
        <v>92</v>
      </c>
      <c r="D195" t="s">
        <v>93</v>
      </c>
      <c r="E195" s="3">
        <v>45890</v>
      </c>
      <c r="F195">
        <v>298.14999999999998</v>
      </c>
      <c r="G195" t="s">
        <v>56</v>
      </c>
      <c r="H195" t="s">
        <v>57</v>
      </c>
      <c r="I195" t="s">
        <v>103</v>
      </c>
      <c r="J195" t="s">
        <v>85</v>
      </c>
      <c r="K195" t="s">
        <v>105</v>
      </c>
      <c r="L195" t="s">
        <v>125</v>
      </c>
      <c r="M195" t="s">
        <v>126</v>
      </c>
      <c r="N195" s="3">
        <v>45890</v>
      </c>
      <c r="O195">
        <v>298.14999999999998</v>
      </c>
      <c r="P195" t="s">
        <v>56</v>
      </c>
      <c r="Q195" t="s">
        <v>57</v>
      </c>
      <c r="R195" t="s">
        <v>103</v>
      </c>
      <c r="S195" t="s">
        <v>85</v>
      </c>
      <c r="T195" t="s">
        <v>105</v>
      </c>
      <c r="U195" t="s">
        <v>92</v>
      </c>
      <c r="V195" t="b">
        <v>1</v>
      </c>
      <c r="W195">
        <v>0</v>
      </c>
      <c r="X195">
        <v>0</v>
      </c>
      <c r="Y195" t="s">
        <v>14</v>
      </c>
    </row>
    <row r="196" spans="1:25">
      <c r="A196" t="s">
        <v>302</v>
      </c>
      <c r="B196" t="s">
        <v>302</v>
      </c>
      <c r="C196" t="s">
        <v>71</v>
      </c>
      <c r="D196" t="s">
        <v>72</v>
      </c>
      <c r="E196" s="3">
        <v>45904</v>
      </c>
      <c r="F196">
        <v>-13.16</v>
      </c>
      <c r="G196" t="s">
        <v>56</v>
      </c>
      <c r="H196" t="s">
        <v>80</v>
      </c>
      <c r="I196" t="s">
        <v>77</v>
      </c>
      <c r="J196" t="s">
        <v>99</v>
      </c>
      <c r="K196" t="s">
        <v>59</v>
      </c>
      <c r="L196" t="s">
        <v>74</v>
      </c>
      <c r="M196" t="s">
        <v>75</v>
      </c>
      <c r="N196" s="3">
        <v>45904</v>
      </c>
      <c r="O196">
        <v>-13.16</v>
      </c>
      <c r="P196" t="s">
        <v>56</v>
      </c>
      <c r="Q196" t="s">
        <v>80</v>
      </c>
      <c r="R196" t="s">
        <v>77</v>
      </c>
      <c r="S196" t="s">
        <v>99</v>
      </c>
      <c r="T196" t="s">
        <v>59</v>
      </c>
      <c r="U196" t="s">
        <v>71</v>
      </c>
      <c r="V196" t="b">
        <v>1</v>
      </c>
      <c r="W196">
        <v>0</v>
      </c>
      <c r="X196">
        <v>0</v>
      </c>
      <c r="Y196" t="s">
        <v>14</v>
      </c>
    </row>
    <row r="197" spans="1:25">
      <c r="A197" t="s">
        <v>303</v>
      </c>
      <c r="B197" t="s">
        <v>303</v>
      </c>
      <c r="C197" t="s">
        <v>150</v>
      </c>
      <c r="D197" t="s">
        <v>151</v>
      </c>
      <c r="E197" s="3">
        <v>45880</v>
      </c>
      <c r="F197">
        <v>-1015.95</v>
      </c>
      <c r="G197" t="s">
        <v>56</v>
      </c>
      <c r="H197" t="s">
        <v>57</v>
      </c>
      <c r="I197" t="s">
        <v>77</v>
      </c>
      <c r="J197" t="s">
        <v>81</v>
      </c>
      <c r="K197" t="s">
        <v>78</v>
      </c>
      <c r="L197" t="s">
        <v>152</v>
      </c>
      <c r="M197" t="s">
        <v>153</v>
      </c>
      <c r="N197" s="3">
        <v>45880</v>
      </c>
      <c r="O197">
        <v>-1015.95</v>
      </c>
      <c r="P197" t="s">
        <v>56</v>
      </c>
      <c r="Q197" t="s">
        <v>57</v>
      </c>
      <c r="R197" t="s">
        <v>77</v>
      </c>
      <c r="S197" t="s">
        <v>81</v>
      </c>
      <c r="T197" t="s">
        <v>78</v>
      </c>
      <c r="U197" t="s">
        <v>150</v>
      </c>
      <c r="V197" t="b">
        <v>1</v>
      </c>
      <c r="W197">
        <v>0</v>
      </c>
      <c r="X197">
        <v>0</v>
      </c>
      <c r="Y197" t="s">
        <v>14</v>
      </c>
    </row>
    <row r="198" spans="1:25">
      <c r="A198" t="s">
        <v>304</v>
      </c>
      <c r="B198" t="s">
        <v>304</v>
      </c>
      <c r="C198" t="s">
        <v>119</v>
      </c>
      <c r="D198" t="s">
        <v>120</v>
      </c>
      <c r="E198" s="3">
        <v>45904</v>
      </c>
      <c r="F198">
        <v>22.31</v>
      </c>
      <c r="G198" t="s">
        <v>56</v>
      </c>
      <c r="H198" t="s">
        <v>80</v>
      </c>
      <c r="I198" t="s">
        <v>103</v>
      </c>
      <c r="J198" t="s">
        <v>99</v>
      </c>
      <c r="K198" t="s">
        <v>105</v>
      </c>
      <c r="L198" t="s">
        <v>121</v>
      </c>
      <c r="M198" t="s">
        <v>122</v>
      </c>
      <c r="N198" s="3">
        <v>45902</v>
      </c>
      <c r="O198">
        <v>28.37</v>
      </c>
      <c r="P198" t="s">
        <v>56</v>
      </c>
      <c r="Q198" t="s">
        <v>80</v>
      </c>
      <c r="R198" t="s">
        <v>103</v>
      </c>
      <c r="S198" t="s">
        <v>99</v>
      </c>
      <c r="T198" t="s">
        <v>105</v>
      </c>
      <c r="U198" t="s">
        <v>119</v>
      </c>
      <c r="V198" t="b">
        <v>1</v>
      </c>
      <c r="W198">
        <v>-6.06</v>
      </c>
      <c r="X198">
        <v>2</v>
      </c>
      <c r="Y198" t="s">
        <v>17</v>
      </c>
    </row>
    <row r="199" spans="1:25">
      <c r="A199" t="s">
        <v>305</v>
      </c>
      <c r="B199" t="s">
        <v>305</v>
      </c>
      <c r="C199" t="s">
        <v>119</v>
      </c>
      <c r="D199" t="s">
        <v>120</v>
      </c>
      <c r="E199" s="3">
        <v>45916</v>
      </c>
      <c r="F199">
        <v>659.1</v>
      </c>
      <c r="G199" t="s">
        <v>56</v>
      </c>
      <c r="H199" t="s">
        <v>80</v>
      </c>
      <c r="I199" t="s">
        <v>58</v>
      </c>
      <c r="J199" t="s">
        <v>109</v>
      </c>
      <c r="K199" t="s">
        <v>107</v>
      </c>
      <c r="L199" t="s">
        <v>121</v>
      </c>
      <c r="M199" t="s">
        <v>122</v>
      </c>
      <c r="N199" s="3">
        <v>45916</v>
      </c>
      <c r="O199">
        <v>659.1</v>
      </c>
      <c r="P199" t="s">
        <v>56</v>
      </c>
      <c r="Q199" t="s">
        <v>80</v>
      </c>
      <c r="R199" t="s">
        <v>58</v>
      </c>
      <c r="S199" t="s">
        <v>109</v>
      </c>
      <c r="T199" t="s">
        <v>107</v>
      </c>
      <c r="U199" t="s">
        <v>119</v>
      </c>
      <c r="V199" t="b">
        <v>1</v>
      </c>
      <c r="W199">
        <v>0</v>
      </c>
      <c r="X199">
        <v>0</v>
      </c>
      <c r="Y199" t="s">
        <v>14</v>
      </c>
    </row>
    <row r="200" spans="1:25">
      <c r="A200" t="s">
        <v>306</v>
      </c>
      <c r="B200" t="s">
        <v>306</v>
      </c>
      <c r="C200" t="s">
        <v>87</v>
      </c>
      <c r="D200" t="s">
        <v>88</v>
      </c>
      <c r="E200" s="3">
        <v>45866</v>
      </c>
      <c r="F200">
        <v>-734.71</v>
      </c>
      <c r="G200" t="s">
        <v>56</v>
      </c>
      <c r="H200" t="s">
        <v>73</v>
      </c>
      <c r="I200" t="s">
        <v>77</v>
      </c>
      <c r="J200" t="s">
        <v>85</v>
      </c>
      <c r="K200" t="s">
        <v>138</v>
      </c>
      <c r="L200" t="s">
        <v>89</v>
      </c>
      <c r="M200" t="s">
        <v>90</v>
      </c>
      <c r="N200" s="3">
        <v>45868</v>
      </c>
      <c r="O200">
        <v>-725.79</v>
      </c>
      <c r="P200" t="s">
        <v>56</v>
      </c>
      <c r="Q200" t="s">
        <v>73</v>
      </c>
      <c r="R200" t="s">
        <v>77</v>
      </c>
      <c r="S200" t="s">
        <v>85</v>
      </c>
      <c r="T200" t="s">
        <v>138</v>
      </c>
      <c r="U200" t="s">
        <v>87</v>
      </c>
      <c r="V200" t="b">
        <v>1</v>
      </c>
      <c r="W200">
        <v>-8.92</v>
      </c>
      <c r="X200">
        <v>-2</v>
      </c>
      <c r="Y200" t="s">
        <v>17</v>
      </c>
    </row>
    <row r="201" spans="1:25">
      <c r="A201" t="s">
        <v>307</v>
      </c>
      <c r="B201" t="s">
        <v>307</v>
      </c>
      <c r="C201" t="s">
        <v>63</v>
      </c>
      <c r="D201" t="s">
        <v>64</v>
      </c>
      <c r="E201" s="3">
        <v>45865</v>
      </c>
      <c r="F201">
        <v>536.77</v>
      </c>
      <c r="G201" t="s">
        <v>56</v>
      </c>
      <c r="H201" t="s">
        <v>57</v>
      </c>
      <c r="I201" t="s">
        <v>58</v>
      </c>
      <c r="J201" t="s">
        <v>66</v>
      </c>
      <c r="K201" t="s">
        <v>107</v>
      </c>
      <c r="L201" t="s">
        <v>82</v>
      </c>
      <c r="M201" t="s">
        <v>83</v>
      </c>
      <c r="N201" s="3">
        <v>45865</v>
      </c>
      <c r="O201">
        <v>536.77</v>
      </c>
      <c r="P201" t="s">
        <v>56</v>
      </c>
      <c r="Q201" t="s">
        <v>57</v>
      </c>
      <c r="R201" t="s">
        <v>58</v>
      </c>
      <c r="S201" t="s">
        <v>66</v>
      </c>
      <c r="T201" t="s">
        <v>107</v>
      </c>
      <c r="U201" t="s">
        <v>63</v>
      </c>
      <c r="V201" t="b">
        <v>1</v>
      </c>
      <c r="W201">
        <v>0</v>
      </c>
      <c r="X201">
        <v>0</v>
      </c>
      <c r="Y201" t="s">
        <v>14</v>
      </c>
    </row>
    <row r="202" spans="1:25">
      <c r="A202" t="s">
        <v>308</v>
      </c>
      <c r="B202" t="s">
        <v>308</v>
      </c>
      <c r="C202" t="s">
        <v>119</v>
      </c>
      <c r="D202" t="s">
        <v>120</v>
      </c>
      <c r="E202" s="3">
        <v>45879</v>
      </c>
      <c r="F202">
        <v>-79.150000000000006</v>
      </c>
      <c r="G202" t="s">
        <v>56</v>
      </c>
      <c r="H202" t="s">
        <v>80</v>
      </c>
      <c r="I202" t="s">
        <v>97</v>
      </c>
      <c r="J202" t="s">
        <v>117</v>
      </c>
      <c r="K202" t="s">
        <v>59</v>
      </c>
      <c r="L202" t="s">
        <v>121</v>
      </c>
      <c r="M202" t="s">
        <v>122</v>
      </c>
      <c r="N202" s="3">
        <v>45879</v>
      </c>
      <c r="O202">
        <v>-79.150000000000006</v>
      </c>
      <c r="P202" t="s">
        <v>56</v>
      </c>
      <c r="Q202" t="s">
        <v>80</v>
      </c>
      <c r="R202" t="s">
        <v>97</v>
      </c>
      <c r="S202" t="s">
        <v>117</v>
      </c>
      <c r="T202" t="s">
        <v>59</v>
      </c>
      <c r="U202" t="s">
        <v>119</v>
      </c>
      <c r="V202" t="b">
        <v>1</v>
      </c>
      <c r="W202">
        <v>0</v>
      </c>
      <c r="X202">
        <v>0</v>
      </c>
      <c r="Y202" t="s">
        <v>14</v>
      </c>
    </row>
    <row r="203" spans="1:25">
      <c r="A203" t="s">
        <v>309</v>
      </c>
      <c r="B203" t="s">
        <v>309</v>
      </c>
      <c r="C203" t="s">
        <v>87</v>
      </c>
      <c r="D203" t="s">
        <v>88</v>
      </c>
      <c r="E203" s="3">
        <v>45894</v>
      </c>
      <c r="F203">
        <v>-753.75</v>
      </c>
      <c r="G203" t="s">
        <v>56</v>
      </c>
      <c r="H203" t="s">
        <v>80</v>
      </c>
      <c r="I203" t="s">
        <v>77</v>
      </c>
      <c r="J203" t="s">
        <v>81</v>
      </c>
      <c r="K203" t="s">
        <v>78</v>
      </c>
      <c r="L203" t="s">
        <v>100</v>
      </c>
      <c r="M203" t="s">
        <v>101</v>
      </c>
      <c r="N203" s="3">
        <v>45894</v>
      </c>
      <c r="O203">
        <v>-753.75</v>
      </c>
      <c r="P203" t="s">
        <v>56</v>
      </c>
      <c r="Q203" t="s">
        <v>80</v>
      </c>
      <c r="R203" t="s">
        <v>77</v>
      </c>
      <c r="S203" t="s">
        <v>81</v>
      </c>
      <c r="T203" t="s">
        <v>78</v>
      </c>
      <c r="U203" t="s">
        <v>87</v>
      </c>
      <c r="V203" t="b">
        <v>1</v>
      </c>
      <c r="W203">
        <v>0</v>
      </c>
      <c r="X203">
        <v>0</v>
      </c>
      <c r="Y203" t="s">
        <v>14</v>
      </c>
    </row>
    <row r="204" spans="1:25">
      <c r="A204" t="s">
        <v>310</v>
      </c>
      <c r="B204" t="s">
        <v>310</v>
      </c>
      <c r="C204" t="s">
        <v>63</v>
      </c>
      <c r="D204" t="s">
        <v>64</v>
      </c>
      <c r="E204" s="3">
        <v>45916</v>
      </c>
      <c r="F204">
        <v>139.61000000000001</v>
      </c>
      <c r="G204" t="s">
        <v>56</v>
      </c>
      <c r="H204" t="s">
        <v>65</v>
      </c>
      <c r="I204" t="s">
        <v>77</v>
      </c>
      <c r="J204" t="s">
        <v>66</v>
      </c>
      <c r="K204" t="s">
        <v>107</v>
      </c>
      <c r="L204" t="s">
        <v>82</v>
      </c>
      <c r="M204" t="s">
        <v>83</v>
      </c>
      <c r="N204" s="3">
        <v>45916</v>
      </c>
      <c r="O204">
        <v>139.61000000000001</v>
      </c>
      <c r="P204" t="s">
        <v>56</v>
      </c>
      <c r="Q204" t="s">
        <v>65</v>
      </c>
      <c r="R204" t="s">
        <v>77</v>
      </c>
      <c r="S204" t="s">
        <v>66</v>
      </c>
      <c r="T204" t="s">
        <v>107</v>
      </c>
      <c r="U204" t="s">
        <v>63</v>
      </c>
      <c r="V204" t="b">
        <v>1</v>
      </c>
      <c r="W204">
        <v>0</v>
      </c>
      <c r="X204">
        <v>0</v>
      </c>
      <c r="Y204" t="s">
        <v>14</v>
      </c>
    </row>
    <row r="205" spans="1:25">
      <c r="A205" t="s">
        <v>311</v>
      </c>
      <c r="B205" t="s">
        <v>311</v>
      </c>
      <c r="C205" t="s">
        <v>150</v>
      </c>
      <c r="D205" t="s">
        <v>151</v>
      </c>
      <c r="E205" s="3">
        <v>45912</v>
      </c>
      <c r="F205">
        <v>164.09</v>
      </c>
      <c r="G205" t="s">
        <v>56</v>
      </c>
      <c r="H205" t="s">
        <v>80</v>
      </c>
      <c r="I205" t="s">
        <v>77</v>
      </c>
      <c r="K205" t="s">
        <v>138</v>
      </c>
      <c r="L205" t="s">
        <v>152</v>
      </c>
      <c r="M205" t="s">
        <v>153</v>
      </c>
      <c r="N205" s="3">
        <v>45910</v>
      </c>
      <c r="O205">
        <v>169.47</v>
      </c>
      <c r="P205" t="s">
        <v>56</v>
      </c>
      <c r="Q205" t="s">
        <v>80</v>
      </c>
      <c r="R205" t="s">
        <v>77</v>
      </c>
      <c r="T205" t="s">
        <v>138</v>
      </c>
      <c r="U205" t="s">
        <v>150</v>
      </c>
      <c r="V205" t="b">
        <v>1</v>
      </c>
      <c r="W205">
        <v>-5.38</v>
      </c>
      <c r="X205">
        <v>2</v>
      </c>
      <c r="Y205" t="s">
        <v>17</v>
      </c>
    </row>
    <row r="206" spans="1:25">
      <c r="A206" t="s">
        <v>312</v>
      </c>
      <c r="B206" t="s">
        <v>312</v>
      </c>
      <c r="C206" t="s">
        <v>63</v>
      </c>
      <c r="D206" t="s">
        <v>64</v>
      </c>
      <c r="E206" s="3">
        <v>45860</v>
      </c>
      <c r="F206">
        <v>409.58</v>
      </c>
      <c r="G206" t="s">
        <v>56</v>
      </c>
      <c r="H206" t="s">
        <v>80</v>
      </c>
      <c r="I206" t="s">
        <v>77</v>
      </c>
      <c r="J206" t="s">
        <v>85</v>
      </c>
      <c r="K206" t="s">
        <v>59</v>
      </c>
      <c r="L206" t="s">
        <v>82</v>
      </c>
      <c r="M206" t="s">
        <v>83</v>
      </c>
      <c r="N206" s="3">
        <v>45860</v>
      </c>
      <c r="O206">
        <v>409.58</v>
      </c>
      <c r="P206" t="s">
        <v>56</v>
      </c>
      <c r="Q206" t="s">
        <v>80</v>
      </c>
      <c r="R206" t="s">
        <v>77</v>
      </c>
      <c r="S206" t="s">
        <v>85</v>
      </c>
      <c r="T206" t="s">
        <v>59</v>
      </c>
      <c r="U206" t="s">
        <v>63</v>
      </c>
      <c r="V206" t="b">
        <v>1</v>
      </c>
      <c r="W206">
        <v>0</v>
      </c>
      <c r="X206">
        <v>0</v>
      </c>
      <c r="Y206" t="s">
        <v>14</v>
      </c>
    </row>
    <row r="207" spans="1:25">
      <c r="A207" t="s">
        <v>313</v>
      </c>
      <c r="B207" t="s">
        <v>313</v>
      </c>
      <c r="C207" t="s">
        <v>92</v>
      </c>
      <c r="D207" t="s">
        <v>93</v>
      </c>
      <c r="E207" s="3">
        <v>45872</v>
      </c>
      <c r="F207">
        <v>-697.13</v>
      </c>
      <c r="G207" t="s">
        <v>56</v>
      </c>
      <c r="H207" t="s">
        <v>57</v>
      </c>
      <c r="I207" t="s">
        <v>58</v>
      </c>
      <c r="J207" t="s">
        <v>66</v>
      </c>
      <c r="K207" t="s">
        <v>59</v>
      </c>
      <c r="L207" t="s">
        <v>94</v>
      </c>
      <c r="M207" t="s">
        <v>95</v>
      </c>
      <c r="N207" s="3">
        <v>45872</v>
      </c>
      <c r="O207">
        <v>-697.13</v>
      </c>
      <c r="P207" t="s">
        <v>56</v>
      </c>
      <c r="Q207" t="s">
        <v>57</v>
      </c>
      <c r="R207" t="s">
        <v>58</v>
      </c>
      <c r="S207" t="s">
        <v>66</v>
      </c>
      <c r="T207" t="s">
        <v>59</v>
      </c>
      <c r="U207" t="s">
        <v>92</v>
      </c>
      <c r="V207" t="b">
        <v>1</v>
      </c>
      <c r="W207">
        <v>0</v>
      </c>
      <c r="X207">
        <v>0</v>
      </c>
      <c r="Y207" t="s">
        <v>14</v>
      </c>
    </row>
    <row r="208" spans="1:25">
      <c r="A208" t="s">
        <v>314</v>
      </c>
      <c r="B208" t="s">
        <v>314</v>
      </c>
      <c r="C208" t="s">
        <v>63</v>
      </c>
      <c r="D208" t="s">
        <v>64</v>
      </c>
      <c r="E208" s="3">
        <v>45882</v>
      </c>
      <c r="F208">
        <v>-575.03</v>
      </c>
      <c r="G208" t="s">
        <v>56</v>
      </c>
      <c r="H208" t="s">
        <v>65</v>
      </c>
      <c r="I208" t="s">
        <v>58</v>
      </c>
      <c r="K208" t="s">
        <v>107</v>
      </c>
      <c r="L208" t="s">
        <v>82</v>
      </c>
      <c r="M208" t="s">
        <v>83</v>
      </c>
      <c r="N208" s="3">
        <v>45882</v>
      </c>
      <c r="O208">
        <v>-575.03</v>
      </c>
      <c r="P208" t="s">
        <v>56</v>
      </c>
      <c r="Q208" t="s">
        <v>65</v>
      </c>
      <c r="R208" t="s">
        <v>58</v>
      </c>
      <c r="T208" t="s">
        <v>107</v>
      </c>
      <c r="U208" t="s">
        <v>63</v>
      </c>
      <c r="V208" t="b">
        <v>1</v>
      </c>
      <c r="W208">
        <v>0</v>
      </c>
      <c r="X208">
        <v>0</v>
      </c>
      <c r="Y208" t="s">
        <v>14</v>
      </c>
    </row>
    <row r="209" spans="1:25">
      <c r="A209" t="s">
        <v>315</v>
      </c>
      <c r="B209" t="s">
        <v>315</v>
      </c>
      <c r="C209" t="s">
        <v>63</v>
      </c>
      <c r="D209" t="s">
        <v>64</v>
      </c>
      <c r="E209" s="3">
        <v>45896</v>
      </c>
      <c r="F209">
        <v>702.69</v>
      </c>
      <c r="G209" t="s">
        <v>56</v>
      </c>
      <c r="H209" t="s">
        <v>65</v>
      </c>
      <c r="I209" t="s">
        <v>97</v>
      </c>
      <c r="J209" t="s">
        <v>117</v>
      </c>
      <c r="K209" t="s">
        <v>78</v>
      </c>
      <c r="L209" t="s">
        <v>82</v>
      </c>
      <c r="M209" t="s">
        <v>83</v>
      </c>
      <c r="N209" s="3">
        <v>45896</v>
      </c>
      <c r="O209">
        <v>702.69</v>
      </c>
      <c r="P209" t="s">
        <v>56</v>
      </c>
      <c r="Q209" t="s">
        <v>65</v>
      </c>
      <c r="R209" t="s">
        <v>97</v>
      </c>
      <c r="S209" t="s">
        <v>117</v>
      </c>
      <c r="T209" t="s">
        <v>78</v>
      </c>
      <c r="U209" t="s">
        <v>63</v>
      </c>
      <c r="V209" t="b">
        <v>1</v>
      </c>
      <c r="W209">
        <v>0</v>
      </c>
      <c r="X209">
        <v>0</v>
      </c>
      <c r="Y209" t="s">
        <v>14</v>
      </c>
    </row>
    <row r="210" spans="1:25">
      <c r="A210" t="s">
        <v>316</v>
      </c>
      <c r="B210" t="s">
        <v>316</v>
      </c>
      <c r="C210" t="s">
        <v>92</v>
      </c>
      <c r="D210" t="s">
        <v>93</v>
      </c>
      <c r="E210" s="3">
        <v>45895</v>
      </c>
      <c r="F210">
        <v>389.09</v>
      </c>
      <c r="G210" t="s">
        <v>56</v>
      </c>
      <c r="H210" t="s">
        <v>73</v>
      </c>
      <c r="I210" t="s">
        <v>97</v>
      </c>
      <c r="J210" t="s">
        <v>85</v>
      </c>
      <c r="K210" t="s">
        <v>138</v>
      </c>
      <c r="L210" t="s">
        <v>125</v>
      </c>
      <c r="M210" t="s">
        <v>126</v>
      </c>
      <c r="N210" s="3">
        <v>45895</v>
      </c>
      <c r="O210">
        <v>389.09</v>
      </c>
      <c r="P210" t="s">
        <v>56</v>
      </c>
      <c r="Q210" t="s">
        <v>73</v>
      </c>
      <c r="R210" t="s">
        <v>97</v>
      </c>
      <c r="S210" t="s">
        <v>85</v>
      </c>
      <c r="T210" t="s">
        <v>138</v>
      </c>
      <c r="U210" t="s">
        <v>92</v>
      </c>
      <c r="V210" t="b">
        <v>1</v>
      </c>
      <c r="W210">
        <v>0</v>
      </c>
      <c r="X210">
        <v>0</v>
      </c>
      <c r="Y210" t="s">
        <v>14</v>
      </c>
    </row>
    <row r="211" spans="1:25">
      <c r="A211" t="s">
        <v>317</v>
      </c>
      <c r="B211" t="s">
        <v>317</v>
      </c>
      <c r="C211" t="s">
        <v>63</v>
      </c>
      <c r="D211" t="s">
        <v>64</v>
      </c>
      <c r="E211" s="3">
        <v>45876</v>
      </c>
      <c r="F211">
        <v>456.95</v>
      </c>
      <c r="G211" t="s">
        <v>56</v>
      </c>
      <c r="H211" t="s">
        <v>73</v>
      </c>
      <c r="I211" t="s">
        <v>58</v>
      </c>
      <c r="J211" t="s">
        <v>117</v>
      </c>
      <c r="L211" t="s">
        <v>68</v>
      </c>
      <c r="M211" t="s">
        <v>69</v>
      </c>
      <c r="N211" s="3">
        <v>45876</v>
      </c>
      <c r="O211">
        <v>456.95</v>
      </c>
      <c r="P211" t="s">
        <v>56</v>
      </c>
      <c r="Q211" t="s">
        <v>73</v>
      </c>
      <c r="R211" t="s">
        <v>58</v>
      </c>
      <c r="S211" t="s">
        <v>117</v>
      </c>
      <c r="U211" t="s">
        <v>63</v>
      </c>
      <c r="V211" t="b">
        <v>1</v>
      </c>
      <c r="W211">
        <v>0</v>
      </c>
      <c r="X211">
        <v>0</v>
      </c>
      <c r="Y211" t="s">
        <v>14</v>
      </c>
    </row>
    <row r="212" spans="1:25">
      <c r="A212" t="s">
        <v>318</v>
      </c>
      <c r="B212" t="s">
        <v>318</v>
      </c>
      <c r="C212" t="s">
        <v>71</v>
      </c>
      <c r="D212" t="s">
        <v>72</v>
      </c>
      <c r="E212" s="3">
        <v>45904</v>
      </c>
      <c r="F212">
        <v>215.72</v>
      </c>
      <c r="G212" t="s">
        <v>56</v>
      </c>
      <c r="H212" t="s">
        <v>57</v>
      </c>
      <c r="I212" t="s">
        <v>77</v>
      </c>
      <c r="J212" t="s">
        <v>81</v>
      </c>
      <c r="K212" t="s">
        <v>78</v>
      </c>
      <c r="L212" t="s">
        <v>74</v>
      </c>
      <c r="M212" t="s">
        <v>75</v>
      </c>
      <c r="N212" s="3">
        <v>45904</v>
      </c>
      <c r="O212">
        <v>215.72</v>
      </c>
      <c r="P212" t="s">
        <v>56</v>
      </c>
      <c r="Q212" t="s">
        <v>57</v>
      </c>
      <c r="R212" t="s">
        <v>77</v>
      </c>
      <c r="S212" t="s">
        <v>81</v>
      </c>
      <c r="T212" t="s">
        <v>78</v>
      </c>
      <c r="U212" t="s">
        <v>71</v>
      </c>
      <c r="V212" t="b">
        <v>1</v>
      </c>
      <c r="W212">
        <v>0</v>
      </c>
      <c r="X212">
        <v>0</v>
      </c>
      <c r="Y212" t="s">
        <v>14</v>
      </c>
    </row>
    <row r="213" spans="1:25">
      <c r="A213" t="s">
        <v>319</v>
      </c>
      <c r="B213" t="s">
        <v>319</v>
      </c>
      <c r="C213" t="s">
        <v>63</v>
      </c>
      <c r="D213" t="s">
        <v>64</v>
      </c>
      <c r="E213" s="3">
        <v>45873</v>
      </c>
      <c r="F213">
        <v>-420.78</v>
      </c>
      <c r="G213" t="s">
        <v>56</v>
      </c>
      <c r="H213" t="s">
        <v>57</v>
      </c>
      <c r="I213" t="s">
        <v>58</v>
      </c>
      <c r="J213" t="s">
        <v>99</v>
      </c>
      <c r="K213" t="s">
        <v>105</v>
      </c>
      <c r="L213" t="s">
        <v>68</v>
      </c>
      <c r="M213" t="s">
        <v>69</v>
      </c>
      <c r="N213" s="3">
        <v>45873</v>
      </c>
      <c r="O213">
        <v>-420.78</v>
      </c>
      <c r="P213" t="s">
        <v>56</v>
      </c>
      <c r="Q213" t="s">
        <v>57</v>
      </c>
      <c r="R213" t="s">
        <v>58</v>
      </c>
      <c r="S213" t="s">
        <v>99</v>
      </c>
      <c r="T213" t="s">
        <v>105</v>
      </c>
      <c r="U213" t="s">
        <v>63</v>
      </c>
      <c r="V213" t="b">
        <v>1</v>
      </c>
      <c r="W213">
        <v>0</v>
      </c>
      <c r="X213">
        <v>0</v>
      </c>
      <c r="Y213" t="s">
        <v>14</v>
      </c>
    </row>
    <row r="214" spans="1:25">
      <c r="A214" t="s">
        <v>320</v>
      </c>
      <c r="B214" t="s">
        <v>320</v>
      </c>
      <c r="C214" t="s">
        <v>87</v>
      </c>
      <c r="D214" t="s">
        <v>88</v>
      </c>
      <c r="E214" s="3">
        <v>45902</v>
      </c>
      <c r="F214">
        <v>-648.28</v>
      </c>
      <c r="G214" t="s">
        <v>56</v>
      </c>
      <c r="H214" t="s">
        <v>73</v>
      </c>
      <c r="I214" t="s">
        <v>103</v>
      </c>
      <c r="J214" t="s">
        <v>99</v>
      </c>
      <c r="K214" t="s">
        <v>105</v>
      </c>
      <c r="L214" t="s">
        <v>100</v>
      </c>
      <c r="M214" t="s">
        <v>101</v>
      </c>
      <c r="N214" s="3">
        <v>45903</v>
      </c>
      <c r="O214">
        <v>-648.75</v>
      </c>
      <c r="P214" t="s">
        <v>56</v>
      </c>
      <c r="Q214" t="s">
        <v>73</v>
      </c>
      <c r="R214" t="s">
        <v>103</v>
      </c>
      <c r="S214" t="s">
        <v>99</v>
      </c>
      <c r="T214" t="s">
        <v>105</v>
      </c>
      <c r="U214" t="s">
        <v>87</v>
      </c>
      <c r="V214" t="b">
        <v>1</v>
      </c>
      <c r="W214">
        <v>0.47</v>
      </c>
      <c r="X214">
        <v>-1</v>
      </c>
      <c r="Y214" t="s">
        <v>15</v>
      </c>
    </row>
    <row r="215" spans="1:25">
      <c r="A215" t="s">
        <v>321</v>
      </c>
      <c r="B215" t="s">
        <v>321</v>
      </c>
      <c r="C215" t="s">
        <v>87</v>
      </c>
      <c r="D215" t="s">
        <v>88</v>
      </c>
      <c r="E215" s="3">
        <v>45862</v>
      </c>
      <c r="F215">
        <v>425.04</v>
      </c>
      <c r="G215" t="s">
        <v>56</v>
      </c>
      <c r="H215" t="s">
        <v>57</v>
      </c>
      <c r="I215" t="s">
        <v>97</v>
      </c>
      <c r="J215" t="s">
        <v>99</v>
      </c>
      <c r="K215" t="s">
        <v>78</v>
      </c>
      <c r="L215" t="s">
        <v>89</v>
      </c>
      <c r="M215" t="s">
        <v>90</v>
      </c>
      <c r="N215" s="3">
        <v>45864</v>
      </c>
      <c r="O215">
        <v>425.09</v>
      </c>
      <c r="P215" t="s">
        <v>56</v>
      </c>
      <c r="Q215" t="s">
        <v>57</v>
      </c>
      <c r="R215" t="s">
        <v>97</v>
      </c>
      <c r="S215" t="s">
        <v>99</v>
      </c>
      <c r="T215" t="s">
        <v>78</v>
      </c>
      <c r="U215" t="s">
        <v>87</v>
      </c>
      <c r="V215" t="b">
        <v>1</v>
      </c>
      <c r="W215">
        <v>-0.05</v>
      </c>
      <c r="X215">
        <v>-2</v>
      </c>
      <c r="Y215" t="s">
        <v>15</v>
      </c>
    </row>
    <row r="216" spans="1:25">
      <c r="A216" t="s">
        <v>322</v>
      </c>
      <c r="B216" t="s">
        <v>322</v>
      </c>
      <c r="C216" t="s">
        <v>87</v>
      </c>
      <c r="D216" t="s">
        <v>88</v>
      </c>
      <c r="E216" s="3">
        <v>45917</v>
      </c>
      <c r="F216">
        <v>-618.86</v>
      </c>
      <c r="G216" t="s">
        <v>56</v>
      </c>
      <c r="H216" t="s">
        <v>80</v>
      </c>
      <c r="I216" t="s">
        <v>97</v>
      </c>
      <c r="J216" t="s">
        <v>117</v>
      </c>
      <c r="K216" t="s">
        <v>138</v>
      </c>
      <c r="L216" t="s">
        <v>89</v>
      </c>
      <c r="M216" t="s">
        <v>90</v>
      </c>
      <c r="N216" s="3">
        <v>45917</v>
      </c>
      <c r="O216">
        <v>-618.86</v>
      </c>
      <c r="P216" t="s">
        <v>56</v>
      </c>
      <c r="Q216" t="s">
        <v>80</v>
      </c>
      <c r="R216" t="s">
        <v>97</v>
      </c>
      <c r="S216" t="s">
        <v>117</v>
      </c>
      <c r="T216" t="s">
        <v>138</v>
      </c>
      <c r="U216" t="s">
        <v>87</v>
      </c>
      <c r="V216" t="b">
        <v>1</v>
      </c>
      <c r="W216">
        <v>0</v>
      </c>
      <c r="X216">
        <v>0</v>
      </c>
      <c r="Y216" t="s">
        <v>14</v>
      </c>
    </row>
    <row r="217" spans="1:25">
      <c r="A217" t="s">
        <v>323</v>
      </c>
      <c r="B217" t="s">
        <v>323</v>
      </c>
      <c r="C217" t="s">
        <v>119</v>
      </c>
      <c r="D217" t="s">
        <v>120</v>
      </c>
      <c r="E217" s="3">
        <v>45872</v>
      </c>
      <c r="F217">
        <v>-356.68</v>
      </c>
      <c r="G217" t="s">
        <v>56</v>
      </c>
      <c r="H217" t="s">
        <v>73</v>
      </c>
      <c r="I217" t="s">
        <v>77</v>
      </c>
      <c r="K217" t="s">
        <v>59</v>
      </c>
      <c r="L217" t="s">
        <v>121</v>
      </c>
      <c r="M217" t="s">
        <v>122</v>
      </c>
      <c r="N217" s="3">
        <v>45873</v>
      </c>
      <c r="O217">
        <v>-356.37</v>
      </c>
      <c r="P217" t="s">
        <v>56</v>
      </c>
      <c r="Q217" t="s">
        <v>73</v>
      </c>
      <c r="R217" t="s">
        <v>77</v>
      </c>
      <c r="T217" t="s">
        <v>59</v>
      </c>
      <c r="U217" t="s">
        <v>119</v>
      </c>
      <c r="V217" t="b">
        <v>1</v>
      </c>
      <c r="W217">
        <v>-0.31</v>
      </c>
      <c r="X217">
        <v>-1</v>
      </c>
      <c r="Y217" t="s">
        <v>15</v>
      </c>
    </row>
    <row r="218" spans="1:25">
      <c r="A218" t="s">
        <v>324</v>
      </c>
      <c r="B218" t="s">
        <v>324</v>
      </c>
      <c r="C218" t="s">
        <v>63</v>
      </c>
      <c r="D218" t="s">
        <v>64</v>
      </c>
      <c r="E218" s="3">
        <v>45911</v>
      </c>
      <c r="F218">
        <v>-351.9</v>
      </c>
      <c r="G218" t="s">
        <v>56</v>
      </c>
      <c r="H218" t="s">
        <v>65</v>
      </c>
      <c r="I218" t="s">
        <v>103</v>
      </c>
      <c r="K218" t="s">
        <v>78</v>
      </c>
      <c r="L218" t="s">
        <v>82</v>
      </c>
      <c r="M218" t="s">
        <v>83</v>
      </c>
      <c r="N218" s="3">
        <v>45913</v>
      </c>
      <c r="O218">
        <v>-352.24</v>
      </c>
      <c r="P218" t="s">
        <v>56</v>
      </c>
      <c r="Q218" t="s">
        <v>65</v>
      </c>
      <c r="R218" t="s">
        <v>103</v>
      </c>
      <c r="T218" t="s">
        <v>78</v>
      </c>
      <c r="U218" t="s">
        <v>63</v>
      </c>
      <c r="V218" t="b">
        <v>1</v>
      </c>
      <c r="W218">
        <v>0.34</v>
      </c>
      <c r="X218">
        <v>-2</v>
      </c>
      <c r="Y218" t="s">
        <v>15</v>
      </c>
    </row>
    <row r="219" spans="1:25">
      <c r="A219" t="s">
        <v>325</v>
      </c>
      <c r="B219" t="s">
        <v>325</v>
      </c>
      <c r="C219" t="s">
        <v>71</v>
      </c>
      <c r="D219" t="s">
        <v>72</v>
      </c>
      <c r="E219" s="3">
        <v>45896</v>
      </c>
      <c r="F219">
        <v>509.79</v>
      </c>
      <c r="G219" t="s">
        <v>56</v>
      </c>
      <c r="H219" t="s">
        <v>65</v>
      </c>
      <c r="I219" t="s">
        <v>97</v>
      </c>
      <c r="J219" t="s">
        <v>66</v>
      </c>
      <c r="K219" t="s">
        <v>107</v>
      </c>
      <c r="L219" t="s">
        <v>74</v>
      </c>
      <c r="M219" t="s">
        <v>75</v>
      </c>
      <c r="N219" s="3">
        <v>45896</v>
      </c>
      <c r="O219">
        <v>509.79</v>
      </c>
      <c r="P219" t="s">
        <v>56</v>
      </c>
      <c r="Q219" t="s">
        <v>65</v>
      </c>
      <c r="R219" t="s">
        <v>97</v>
      </c>
      <c r="S219" t="s">
        <v>66</v>
      </c>
      <c r="T219" t="s">
        <v>107</v>
      </c>
      <c r="U219" t="s">
        <v>71</v>
      </c>
      <c r="V219" t="b">
        <v>1</v>
      </c>
      <c r="W219">
        <v>0</v>
      </c>
      <c r="X219">
        <v>0</v>
      </c>
      <c r="Y219" t="s">
        <v>14</v>
      </c>
    </row>
    <row r="220" spans="1:25">
      <c r="A220" t="s">
        <v>326</v>
      </c>
      <c r="B220" t="s">
        <v>326</v>
      </c>
      <c r="C220" t="s">
        <v>63</v>
      </c>
      <c r="D220" t="s">
        <v>64</v>
      </c>
      <c r="E220" s="3">
        <v>45863</v>
      </c>
      <c r="F220">
        <v>451.28</v>
      </c>
      <c r="G220" t="s">
        <v>56</v>
      </c>
      <c r="H220" t="s">
        <v>65</v>
      </c>
      <c r="I220" t="s">
        <v>103</v>
      </c>
      <c r="J220" t="s">
        <v>81</v>
      </c>
      <c r="K220" t="s">
        <v>105</v>
      </c>
      <c r="L220" t="s">
        <v>68</v>
      </c>
      <c r="M220" t="s">
        <v>69</v>
      </c>
      <c r="N220" s="3">
        <v>45863</v>
      </c>
      <c r="O220">
        <v>451.28</v>
      </c>
      <c r="P220" t="s">
        <v>56</v>
      </c>
      <c r="Q220" t="s">
        <v>65</v>
      </c>
      <c r="R220" t="s">
        <v>103</v>
      </c>
      <c r="S220" t="s">
        <v>81</v>
      </c>
      <c r="T220" t="s">
        <v>105</v>
      </c>
      <c r="U220" t="s">
        <v>63</v>
      </c>
      <c r="V220" t="b">
        <v>1</v>
      </c>
      <c r="W220">
        <v>0</v>
      </c>
      <c r="X220">
        <v>0</v>
      </c>
      <c r="Y220" t="s">
        <v>14</v>
      </c>
    </row>
    <row r="221" spans="1:25">
      <c r="A221" t="s">
        <v>327</v>
      </c>
      <c r="B221" t="s">
        <v>327</v>
      </c>
      <c r="C221" t="s">
        <v>63</v>
      </c>
      <c r="D221" t="s">
        <v>64</v>
      </c>
      <c r="E221" s="3">
        <v>45858</v>
      </c>
      <c r="F221">
        <v>-648.1</v>
      </c>
      <c r="G221" t="s">
        <v>56</v>
      </c>
      <c r="H221" t="s">
        <v>57</v>
      </c>
      <c r="I221" t="s">
        <v>58</v>
      </c>
      <c r="J221" t="s">
        <v>109</v>
      </c>
      <c r="K221" t="s">
        <v>107</v>
      </c>
      <c r="L221" t="s">
        <v>82</v>
      </c>
      <c r="M221" t="s">
        <v>83</v>
      </c>
      <c r="N221" s="3">
        <v>45858</v>
      </c>
      <c r="O221">
        <v>-649.42999999999995</v>
      </c>
      <c r="P221" t="s">
        <v>56</v>
      </c>
      <c r="Q221" t="s">
        <v>57</v>
      </c>
      <c r="R221" t="s">
        <v>58</v>
      </c>
      <c r="S221" t="s">
        <v>109</v>
      </c>
      <c r="T221" t="s">
        <v>107</v>
      </c>
      <c r="U221" t="s">
        <v>63</v>
      </c>
      <c r="V221" t="b">
        <v>1</v>
      </c>
      <c r="W221">
        <v>1.33</v>
      </c>
      <c r="X221">
        <v>0</v>
      </c>
      <c r="Y221" t="s">
        <v>17</v>
      </c>
    </row>
    <row r="222" spans="1:25">
      <c r="A222" t="s">
        <v>328</v>
      </c>
      <c r="B222" t="s">
        <v>328</v>
      </c>
      <c r="C222" t="s">
        <v>63</v>
      </c>
      <c r="D222" t="s">
        <v>64</v>
      </c>
      <c r="E222" s="3">
        <v>45911</v>
      </c>
      <c r="F222">
        <v>544.57000000000005</v>
      </c>
      <c r="G222" t="s">
        <v>56</v>
      </c>
      <c r="H222" t="s">
        <v>80</v>
      </c>
      <c r="I222" t="s">
        <v>97</v>
      </c>
      <c r="L222" t="s">
        <v>68</v>
      </c>
      <c r="M222" t="s">
        <v>69</v>
      </c>
      <c r="N222" s="3">
        <v>45911</v>
      </c>
      <c r="O222">
        <v>544.57000000000005</v>
      </c>
      <c r="P222" t="s">
        <v>56</v>
      </c>
      <c r="Q222" t="s">
        <v>80</v>
      </c>
      <c r="R222" t="s">
        <v>97</v>
      </c>
      <c r="U222" t="s">
        <v>63</v>
      </c>
      <c r="V222" t="b">
        <v>1</v>
      </c>
      <c r="W222">
        <v>0</v>
      </c>
      <c r="X222">
        <v>0</v>
      </c>
      <c r="Y222" t="s">
        <v>14</v>
      </c>
    </row>
    <row r="223" spans="1:25">
      <c r="A223" t="s">
        <v>329</v>
      </c>
      <c r="B223" t="s">
        <v>329</v>
      </c>
      <c r="C223" t="s">
        <v>92</v>
      </c>
      <c r="D223" t="s">
        <v>93</v>
      </c>
      <c r="E223" s="3">
        <v>45914</v>
      </c>
      <c r="F223">
        <v>935.09</v>
      </c>
      <c r="G223" t="s">
        <v>56</v>
      </c>
      <c r="H223" t="s">
        <v>73</v>
      </c>
      <c r="I223" t="s">
        <v>58</v>
      </c>
      <c r="J223" t="s">
        <v>81</v>
      </c>
      <c r="K223" t="s">
        <v>78</v>
      </c>
      <c r="L223" t="s">
        <v>125</v>
      </c>
      <c r="M223" t="s">
        <v>126</v>
      </c>
      <c r="N223" s="3">
        <v>45913</v>
      </c>
      <c r="O223">
        <v>945.43</v>
      </c>
      <c r="P223" t="s">
        <v>56</v>
      </c>
      <c r="Q223" t="s">
        <v>73</v>
      </c>
      <c r="R223" t="s">
        <v>58</v>
      </c>
      <c r="S223" t="s">
        <v>81</v>
      </c>
      <c r="T223" t="s">
        <v>78</v>
      </c>
      <c r="U223" t="s">
        <v>92</v>
      </c>
      <c r="V223" t="b">
        <v>1</v>
      </c>
      <c r="W223">
        <v>-10.34</v>
      </c>
      <c r="X223">
        <v>1</v>
      </c>
      <c r="Y223" t="s">
        <v>17</v>
      </c>
    </row>
    <row r="224" spans="1:25">
      <c r="A224" t="s">
        <v>330</v>
      </c>
      <c r="B224" t="s">
        <v>330</v>
      </c>
      <c r="C224" t="s">
        <v>87</v>
      </c>
      <c r="D224" t="s">
        <v>88</v>
      </c>
      <c r="E224" s="3">
        <v>45864</v>
      </c>
      <c r="F224">
        <v>-445.13</v>
      </c>
      <c r="G224" t="s">
        <v>56</v>
      </c>
      <c r="H224" t="s">
        <v>57</v>
      </c>
      <c r="I224" t="s">
        <v>103</v>
      </c>
      <c r="J224" t="s">
        <v>117</v>
      </c>
      <c r="K224" t="s">
        <v>107</v>
      </c>
      <c r="L224" t="s">
        <v>89</v>
      </c>
      <c r="M224" t="s">
        <v>90</v>
      </c>
      <c r="N224" s="3">
        <v>45864</v>
      </c>
      <c r="O224">
        <v>-445.13</v>
      </c>
      <c r="P224" t="s">
        <v>56</v>
      </c>
      <c r="Q224" t="s">
        <v>57</v>
      </c>
      <c r="R224" t="s">
        <v>103</v>
      </c>
      <c r="S224" t="s">
        <v>117</v>
      </c>
      <c r="T224" t="s">
        <v>107</v>
      </c>
      <c r="U224" t="s">
        <v>87</v>
      </c>
      <c r="V224" t="b">
        <v>1</v>
      </c>
      <c r="W224">
        <v>0</v>
      </c>
      <c r="X224">
        <v>0</v>
      </c>
      <c r="Y224" t="s">
        <v>14</v>
      </c>
    </row>
    <row r="225" spans="1:25">
      <c r="A225" t="s">
        <v>331</v>
      </c>
      <c r="B225" t="s">
        <v>331</v>
      </c>
      <c r="C225" t="s">
        <v>150</v>
      </c>
      <c r="D225" t="s">
        <v>151</v>
      </c>
      <c r="E225" s="3">
        <v>45863</v>
      </c>
      <c r="F225">
        <v>443.19</v>
      </c>
      <c r="G225" t="s">
        <v>56</v>
      </c>
      <c r="H225" t="s">
        <v>65</v>
      </c>
      <c r="I225" t="s">
        <v>103</v>
      </c>
      <c r="J225" t="s">
        <v>99</v>
      </c>
      <c r="K225" t="s">
        <v>138</v>
      </c>
      <c r="L225" t="s">
        <v>152</v>
      </c>
      <c r="M225" t="s">
        <v>153</v>
      </c>
      <c r="N225" s="3">
        <v>45863</v>
      </c>
      <c r="O225">
        <v>443.19</v>
      </c>
      <c r="P225" t="s">
        <v>56</v>
      </c>
      <c r="Q225" t="s">
        <v>65</v>
      </c>
      <c r="R225" t="s">
        <v>103</v>
      </c>
      <c r="S225" t="s">
        <v>99</v>
      </c>
      <c r="T225" t="s">
        <v>138</v>
      </c>
      <c r="U225" t="s">
        <v>150</v>
      </c>
      <c r="V225" t="b">
        <v>1</v>
      </c>
      <c r="W225">
        <v>0</v>
      </c>
      <c r="X225">
        <v>0</v>
      </c>
      <c r="Y225" t="s">
        <v>14</v>
      </c>
    </row>
    <row r="226" spans="1:25">
      <c r="A226" t="s">
        <v>332</v>
      </c>
      <c r="B226" t="s">
        <v>332</v>
      </c>
      <c r="C226" t="s">
        <v>71</v>
      </c>
      <c r="D226" t="s">
        <v>72</v>
      </c>
      <c r="E226" s="3">
        <v>45873</v>
      </c>
      <c r="F226">
        <v>-239.97</v>
      </c>
      <c r="G226" t="s">
        <v>56</v>
      </c>
      <c r="H226" t="s">
        <v>80</v>
      </c>
      <c r="I226" t="s">
        <v>103</v>
      </c>
      <c r="J226" t="s">
        <v>66</v>
      </c>
      <c r="K226" t="s">
        <v>105</v>
      </c>
      <c r="L226" t="s">
        <v>74</v>
      </c>
      <c r="M226" t="s">
        <v>75</v>
      </c>
      <c r="N226" s="3">
        <v>45873</v>
      </c>
      <c r="O226">
        <v>-239.97</v>
      </c>
      <c r="P226" t="s">
        <v>56</v>
      </c>
      <c r="Q226" t="s">
        <v>80</v>
      </c>
      <c r="R226" t="s">
        <v>103</v>
      </c>
      <c r="S226" t="s">
        <v>66</v>
      </c>
      <c r="T226" t="s">
        <v>105</v>
      </c>
      <c r="U226" t="s">
        <v>71</v>
      </c>
      <c r="V226" t="b">
        <v>1</v>
      </c>
      <c r="W226">
        <v>0</v>
      </c>
      <c r="X226">
        <v>0</v>
      </c>
      <c r="Y226" t="s">
        <v>14</v>
      </c>
    </row>
    <row r="227" spans="1:25">
      <c r="A227" t="s">
        <v>333</v>
      </c>
      <c r="B227" t="s">
        <v>333</v>
      </c>
      <c r="C227" t="s">
        <v>54</v>
      </c>
      <c r="D227" t="s">
        <v>55</v>
      </c>
      <c r="E227" s="3">
        <v>45915</v>
      </c>
      <c r="F227">
        <v>-505.69</v>
      </c>
      <c r="G227" t="s">
        <v>56</v>
      </c>
      <c r="H227" t="s">
        <v>73</v>
      </c>
      <c r="I227" t="s">
        <v>103</v>
      </c>
      <c r="J227" t="s">
        <v>85</v>
      </c>
      <c r="K227" t="s">
        <v>105</v>
      </c>
      <c r="L227" t="s">
        <v>60</v>
      </c>
      <c r="M227" t="s">
        <v>61</v>
      </c>
      <c r="N227" s="3">
        <v>45915</v>
      </c>
      <c r="O227">
        <v>-505.69</v>
      </c>
      <c r="P227" t="s">
        <v>56</v>
      </c>
      <c r="Q227" t="s">
        <v>73</v>
      </c>
      <c r="R227" t="s">
        <v>103</v>
      </c>
      <c r="S227" t="s">
        <v>85</v>
      </c>
      <c r="T227" t="s">
        <v>105</v>
      </c>
      <c r="U227" t="s">
        <v>54</v>
      </c>
      <c r="V227" t="b">
        <v>1</v>
      </c>
      <c r="W227">
        <v>0</v>
      </c>
      <c r="X227">
        <v>0</v>
      </c>
      <c r="Y227" t="s">
        <v>14</v>
      </c>
    </row>
    <row r="228" spans="1:25">
      <c r="A228" t="s">
        <v>334</v>
      </c>
      <c r="B228" t="s">
        <v>334</v>
      </c>
      <c r="C228" t="s">
        <v>63</v>
      </c>
      <c r="D228" t="s">
        <v>64</v>
      </c>
      <c r="E228" s="3">
        <v>45907</v>
      </c>
      <c r="F228">
        <v>670.71</v>
      </c>
      <c r="G228" t="s">
        <v>56</v>
      </c>
      <c r="H228" t="s">
        <v>73</v>
      </c>
      <c r="I228" t="s">
        <v>58</v>
      </c>
      <c r="J228" t="s">
        <v>99</v>
      </c>
      <c r="K228" t="s">
        <v>67</v>
      </c>
      <c r="L228" t="s">
        <v>82</v>
      </c>
      <c r="M228" t="s">
        <v>83</v>
      </c>
      <c r="N228" s="3">
        <v>45905</v>
      </c>
      <c r="O228">
        <v>672.32</v>
      </c>
      <c r="P228" t="s">
        <v>56</v>
      </c>
      <c r="Q228" t="s">
        <v>73</v>
      </c>
      <c r="R228" t="s">
        <v>58</v>
      </c>
      <c r="S228" t="s">
        <v>99</v>
      </c>
      <c r="T228" t="s">
        <v>67</v>
      </c>
      <c r="U228" t="s">
        <v>63</v>
      </c>
      <c r="V228" t="b">
        <v>1</v>
      </c>
      <c r="W228">
        <v>-1.61</v>
      </c>
      <c r="X228">
        <v>2</v>
      </c>
      <c r="Y228" t="s">
        <v>17</v>
      </c>
    </row>
    <row r="229" spans="1:25">
      <c r="A229" t="s">
        <v>335</v>
      </c>
      <c r="B229" t="s">
        <v>335</v>
      </c>
      <c r="C229" t="s">
        <v>63</v>
      </c>
      <c r="D229" t="s">
        <v>64</v>
      </c>
      <c r="E229" s="3">
        <v>45891</v>
      </c>
      <c r="F229">
        <v>314.93</v>
      </c>
      <c r="G229" t="s">
        <v>56</v>
      </c>
      <c r="H229" t="s">
        <v>57</v>
      </c>
      <c r="I229" t="s">
        <v>103</v>
      </c>
      <c r="J229" t="s">
        <v>81</v>
      </c>
      <c r="K229" t="s">
        <v>67</v>
      </c>
      <c r="L229" t="s">
        <v>82</v>
      </c>
      <c r="M229" t="s">
        <v>83</v>
      </c>
      <c r="N229" s="3">
        <v>45891</v>
      </c>
      <c r="O229">
        <v>314.93</v>
      </c>
      <c r="P229" t="s">
        <v>56</v>
      </c>
      <c r="Q229" t="s">
        <v>57</v>
      </c>
      <c r="R229" t="s">
        <v>103</v>
      </c>
      <c r="S229" t="s">
        <v>81</v>
      </c>
      <c r="T229" t="s">
        <v>67</v>
      </c>
      <c r="U229" t="s">
        <v>63</v>
      </c>
      <c r="V229" t="b">
        <v>1</v>
      </c>
      <c r="W229">
        <v>0</v>
      </c>
      <c r="X229">
        <v>0</v>
      </c>
      <c r="Y229" t="s">
        <v>14</v>
      </c>
    </row>
    <row r="230" spans="1:25">
      <c r="A230" t="s">
        <v>336</v>
      </c>
      <c r="B230" t="s">
        <v>336</v>
      </c>
      <c r="C230" t="s">
        <v>63</v>
      </c>
      <c r="D230" t="s">
        <v>64</v>
      </c>
      <c r="E230" s="3">
        <v>45890</v>
      </c>
      <c r="F230">
        <v>-487.58</v>
      </c>
      <c r="G230" t="s">
        <v>56</v>
      </c>
      <c r="H230" t="s">
        <v>57</v>
      </c>
      <c r="I230" t="s">
        <v>58</v>
      </c>
      <c r="J230" t="s">
        <v>99</v>
      </c>
      <c r="K230" t="s">
        <v>67</v>
      </c>
      <c r="L230" t="s">
        <v>82</v>
      </c>
      <c r="M230" t="s">
        <v>83</v>
      </c>
      <c r="N230" s="3">
        <v>45890</v>
      </c>
      <c r="O230">
        <v>-487.58</v>
      </c>
      <c r="P230" t="s">
        <v>56</v>
      </c>
      <c r="Q230" t="s">
        <v>57</v>
      </c>
      <c r="R230" t="s">
        <v>58</v>
      </c>
      <c r="S230" t="s">
        <v>99</v>
      </c>
      <c r="T230" t="s">
        <v>67</v>
      </c>
      <c r="U230" t="s">
        <v>63</v>
      </c>
      <c r="V230" t="b">
        <v>1</v>
      </c>
      <c r="W230">
        <v>0</v>
      </c>
      <c r="X230">
        <v>0</v>
      </c>
      <c r="Y230" t="s">
        <v>14</v>
      </c>
    </row>
    <row r="231" spans="1:25">
      <c r="A231" t="s">
        <v>337</v>
      </c>
      <c r="B231" t="s">
        <v>337</v>
      </c>
      <c r="C231" t="s">
        <v>63</v>
      </c>
      <c r="D231" t="s">
        <v>64</v>
      </c>
      <c r="E231" s="3">
        <v>45888</v>
      </c>
      <c r="F231">
        <v>679.64</v>
      </c>
      <c r="G231" t="s">
        <v>56</v>
      </c>
      <c r="H231" t="s">
        <v>65</v>
      </c>
      <c r="I231" t="s">
        <v>77</v>
      </c>
      <c r="J231" t="s">
        <v>85</v>
      </c>
      <c r="K231" t="s">
        <v>138</v>
      </c>
      <c r="L231" t="s">
        <v>68</v>
      </c>
      <c r="M231" t="s">
        <v>69</v>
      </c>
      <c r="N231" s="3">
        <v>45888</v>
      </c>
      <c r="O231">
        <v>679.64</v>
      </c>
      <c r="P231" t="s">
        <v>56</v>
      </c>
      <c r="Q231" t="s">
        <v>65</v>
      </c>
      <c r="R231" t="s">
        <v>77</v>
      </c>
      <c r="S231" t="s">
        <v>85</v>
      </c>
      <c r="T231" t="s">
        <v>138</v>
      </c>
      <c r="U231" t="s">
        <v>63</v>
      </c>
      <c r="V231" t="b">
        <v>1</v>
      </c>
      <c r="W231">
        <v>0</v>
      </c>
      <c r="X231">
        <v>0</v>
      </c>
      <c r="Y231" t="s">
        <v>14</v>
      </c>
    </row>
    <row r="232" spans="1:25">
      <c r="A232" t="s">
        <v>338</v>
      </c>
      <c r="B232" t="s">
        <v>338</v>
      </c>
      <c r="C232" t="s">
        <v>92</v>
      </c>
      <c r="D232" t="s">
        <v>93</v>
      </c>
      <c r="E232" s="3">
        <v>45873</v>
      </c>
      <c r="F232">
        <v>468.27</v>
      </c>
      <c r="G232" t="s">
        <v>56</v>
      </c>
      <c r="H232" t="s">
        <v>65</v>
      </c>
      <c r="I232" t="s">
        <v>103</v>
      </c>
      <c r="K232" t="s">
        <v>78</v>
      </c>
      <c r="L232" t="s">
        <v>125</v>
      </c>
      <c r="M232" t="s">
        <v>126</v>
      </c>
      <c r="N232" s="3">
        <v>45873</v>
      </c>
      <c r="O232">
        <v>468.27</v>
      </c>
      <c r="P232" t="s">
        <v>56</v>
      </c>
      <c r="Q232" t="s">
        <v>65</v>
      </c>
      <c r="R232" t="s">
        <v>103</v>
      </c>
      <c r="T232" t="s">
        <v>78</v>
      </c>
      <c r="U232" t="s">
        <v>92</v>
      </c>
      <c r="V232" t="b">
        <v>1</v>
      </c>
      <c r="W232">
        <v>0</v>
      </c>
      <c r="X232">
        <v>0</v>
      </c>
      <c r="Y232" t="s">
        <v>14</v>
      </c>
    </row>
    <row r="233" spans="1:25">
      <c r="A233" t="s">
        <v>339</v>
      </c>
      <c r="B233" t="s">
        <v>339</v>
      </c>
      <c r="C233" t="s">
        <v>87</v>
      </c>
      <c r="D233" t="s">
        <v>88</v>
      </c>
      <c r="E233" s="3">
        <v>45888</v>
      </c>
      <c r="F233">
        <v>-370.22</v>
      </c>
      <c r="G233" t="s">
        <v>56</v>
      </c>
      <c r="H233" t="s">
        <v>57</v>
      </c>
      <c r="I233" t="s">
        <v>77</v>
      </c>
      <c r="K233" t="s">
        <v>105</v>
      </c>
      <c r="L233" t="s">
        <v>89</v>
      </c>
      <c r="M233" t="s">
        <v>90</v>
      </c>
      <c r="N233" s="3">
        <v>45888</v>
      </c>
      <c r="O233">
        <v>-370.22</v>
      </c>
      <c r="P233" t="s">
        <v>56</v>
      </c>
      <c r="Q233" t="s">
        <v>57</v>
      </c>
      <c r="R233" t="s">
        <v>77</v>
      </c>
      <c r="T233" t="s">
        <v>105</v>
      </c>
      <c r="U233" t="s">
        <v>87</v>
      </c>
      <c r="V233" t="b">
        <v>1</v>
      </c>
      <c r="W233">
        <v>0</v>
      </c>
      <c r="X233">
        <v>0</v>
      </c>
      <c r="Y233" t="s">
        <v>14</v>
      </c>
    </row>
    <row r="234" spans="1:25">
      <c r="A234" t="s">
        <v>340</v>
      </c>
      <c r="B234" t="s">
        <v>340</v>
      </c>
      <c r="C234" t="s">
        <v>92</v>
      </c>
      <c r="D234" t="s">
        <v>93</v>
      </c>
      <c r="E234" s="3">
        <v>45907</v>
      </c>
      <c r="F234">
        <v>-743.27</v>
      </c>
      <c r="G234" t="s">
        <v>56</v>
      </c>
      <c r="H234" t="s">
        <v>80</v>
      </c>
      <c r="I234" t="s">
        <v>103</v>
      </c>
      <c r="J234" t="s">
        <v>66</v>
      </c>
      <c r="K234" t="s">
        <v>67</v>
      </c>
      <c r="L234" t="s">
        <v>125</v>
      </c>
      <c r="M234" t="s">
        <v>126</v>
      </c>
      <c r="N234" s="3">
        <v>45907</v>
      </c>
      <c r="O234">
        <v>-743.27</v>
      </c>
      <c r="P234" t="s">
        <v>56</v>
      </c>
      <c r="Q234" t="s">
        <v>80</v>
      </c>
      <c r="R234" t="s">
        <v>103</v>
      </c>
      <c r="S234" t="s">
        <v>66</v>
      </c>
      <c r="T234" t="s">
        <v>67</v>
      </c>
      <c r="U234" t="s">
        <v>92</v>
      </c>
      <c r="V234" t="b">
        <v>1</v>
      </c>
      <c r="W234">
        <v>0</v>
      </c>
      <c r="X234">
        <v>0</v>
      </c>
      <c r="Y234" t="s">
        <v>14</v>
      </c>
    </row>
    <row r="235" spans="1:25">
      <c r="A235" t="s">
        <v>341</v>
      </c>
      <c r="B235" t="s">
        <v>341</v>
      </c>
      <c r="C235" t="s">
        <v>71</v>
      </c>
      <c r="D235" t="s">
        <v>72</v>
      </c>
      <c r="E235" s="3">
        <v>45914</v>
      </c>
      <c r="F235">
        <v>524.25</v>
      </c>
      <c r="G235" t="s">
        <v>56</v>
      </c>
      <c r="H235" t="s">
        <v>57</v>
      </c>
      <c r="I235" t="s">
        <v>77</v>
      </c>
      <c r="J235" t="s">
        <v>109</v>
      </c>
      <c r="K235" t="s">
        <v>107</v>
      </c>
      <c r="L235" t="s">
        <v>74</v>
      </c>
      <c r="M235" t="s">
        <v>75</v>
      </c>
      <c r="N235" s="3">
        <v>45914</v>
      </c>
      <c r="O235">
        <v>524.25</v>
      </c>
      <c r="P235" t="s">
        <v>56</v>
      </c>
      <c r="Q235" t="s">
        <v>57</v>
      </c>
      <c r="R235" t="s">
        <v>77</v>
      </c>
      <c r="S235" t="s">
        <v>109</v>
      </c>
      <c r="T235" t="s">
        <v>107</v>
      </c>
      <c r="U235" t="s">
        <v>71</v>
      </c>
      <c r="V235" t="b">
        <v>1</v>
      </c>
      <c r="W235">
        <v>0</v>
      </c>
      <c r="X235">
        <v>0</v>
      </c>
      <c r="Y235" t="s">
        <v>14</v>
      </c>
    </row>
    <row r="236" spans="1:25">
      <c r="A236" t="s">
        <v>342</v>
      </c>
      <c r="B236" t="s">
        <v>342</v>
      </c>
      <c r="C236" t="s">
        <v>54</v>
      </c>
      <c r="D236" t="s">
        <v>55</v>
      </c>
      <c r="E236" s="3">
        <v>45870</v>
      </c>
      <c r="F236">
        <v>-599.14</v>
      </c>
      <c r="G236" t="s">
        <v>56</v>
      </c>
      <c r="H236" t="s">
        <v>73</v>
      </c>
      <c r="I236" t="s">
        <v>97</v>
      </c>
      <c r="J236" t="s">
        <v>117</v>
      </c>
      <c r="K236" t="s">
        <v>105</v>
      </c>
      <c r="L236" t="s">
        <v>60</v>
      </c>
      <c r="M236" t="s">
        <v>61</v>
      </c>
      <c r="N236" s="3">
        <v>45869</v>
      </c>
      <c r="O236">
        <v>-599.07000000000005</v>
      </c>
      <c r="P236" t="s">
        <v>56</v>
      </c>
      <c r="Q236" t="s">
        <v>73</v>
      </c>
      <c r="R236" t="s">
        <v>97</v>
      </c>
      <c r="S236" t="s">
        <v>117</v>
      </c>
      <c r="T236" t="s">
        <v>105</v>
      </c>
      <c r="U236" t="s">
        <v>54</v>
      </c>
      <c r="V236" t="b">
        <v>1</v>
      </c>
      <c r="W236">
        <v>-7.0000000000000007E-2</v>
      </c>
      <c r="X236">
        <v>1</v>
      </c>
      <c r="Y236" t="s">
        <v>15</v>
      </c>
    </row>
    <row r="237" spans="1:25">
      <c r="A237" t="s">
        <v>343</v>
      </c>
      <c r="B237" t="s">
        <v>343</v>
      </c>
      <c r="C237" t="s">
        <v>87</v>
      </c>
      <c r="D237" t="s">
        <v>88</v>
      </c>
      <c r="E237" s="3">
        <v>45917</v>
      </c>
      <c r="F237">
        <v>792.85</v>
      </c>
      <c r="G237" t="s">
        <v>56</v>
      </c>
      <c r="H237" t="s">
        <v>57</v>
      </c>
      <c r="I237" t="s">
        <v>103</v>
      </c>
      <c r="J237" t="s">
        <v>85</v>
      </c>
      <c r="K237" t="s">
        <v>138</v>
      </c>
      <c r="L237" t="s">
        <v>89</v>
      </c>
      <c r="M237" t="s">
        <v>90</v>
      </c>
      <c r="N237" s="3">
        <v>45917</v>
      </c>
      <c r="O237">
        <v>792.85</v>
      </c>
      <c r="P237" t="s">
        <v>56</v>
      </c>
      <c r="Q237" t="s">
        <v>57</v>
      </c>
      <c r="R237" t="s">
        <v>103</v>
      </c>
      <c r="S237" t="s">
        <v>85</v>
      </c>
      <c r="T237" t="s">
        <v>138</v>
      </c>
      <c r="U237" t="s">
        <v>87</v>
      </c>
      <c r="V237" t="b">
        <v>1</v>
      </c>
      <c r="W237">
        <v>0</v>
      </c>
      <c r="X237">
        <v>0</v>
      </c>
      <c r="Y237" t="s">
        <v>14</v>
      </c>
    </row>
    <row r="238" spans="1:25">
      <c r="A238" t="s">
        <v>344</v>
      </c>
      <c r="B238" t="s">
        <v>344</v>
      </c>
      <c r="C238" t="s">
        <v>92</v>
      </c>
      <c r="D238" t="s">
        <v>93</v>
      </c>
      <c r="E238" s="3">
        <v>45866</v>
      </c>
      <c r="F238">
        <v>786.33</v>
      </c>
      <c r="G238" t="s">
        <v>56</v>
      </c>
      <c r="H238" t="s">
        <v>73</v>
      </c>
      <c r="I238" t="s">
        <v>103</v>
      </c>
      <c r="J238" t="s">
        <v>81</v>
      </c>
      <c r="K238" t="s">
        <v>67</v>
      </c>
      <c r="L238" t="s">
        <v>125</v>
      </c>
      <c r="M238" t="s">
        <v>126</v>
      </c>
      <c r="N238" s="3">
        <v>45866</v>
      </c>
      <c r="O238">
        <v>786.33</v>
      </c>
      <c r="P238" t="s">
        <v>56</v>
      </c>
      <c r="Q238" t="s">
        <v>73</v>
      </c>
      <c r="R238" t="s">
        <v>103</v>
      </c>
      <c r="S238" t="s">
        <v>81</v>
      </c>
      <c r="T238" t="s">
        <v>67</v>
      </c>
      <c r="U238" t="s">
        <v>92</v>
      </c>
      <c r="V238" t="b">
        <v>1</v>
      </c>
      <c r="W238">
        <v>0</v>
      </c>
      <c r="X238">
        <v>0</v>
      </c>
      <c r="Y238" t="s">
        <v>14</v>
      </c>
    </row>
    <row r="239" spans="1:25">
      <c r="A239" t="s">
        <v>345</v>
      </c>
      <c r="B239" t="s">
        <v>345</v>
      </c>
      <c r="C239" t="s">
        <v>92</v>
      </c>
      <c r="D239" t="s">
        <v>93</v>
      </c>
      <c r="E239" s="3">
        <v>45901</v>
      </c>
      <c r="F239">
        <v>413.2</v>
      </c>
      <c r="G239" t="s">
        <v>56</v>
      </c>
      <c r="H239" t="s">
        <v>65</v>
      </c>
      <c r="I239" t="s">
        <v>97</v>
      </c>
      <c r="J239" t="s">
        <v>99</v>
      </c>
      <c r="K239" t="s">
        <v>67</v>
      </c>
      <c r="L239" t="s">
        <v>94</v>
      </c>
      <c r="M239" t="s">
        <v>95</v>
      </c>
      <c r="N239" s="3">
        <v>45901</v>
      </c>
      <c r="O239">
        <v>413.2</v>
      </c>
      <c r="P239" t="s">
        <v>56</v>
      </c>
      <c r="Q239" t="s">
        <v>65</v>
      </c>
      <c r="R239" t="s">
        <v>97</v>
      </c>
      <c r="S239" t="s">
        <v>99</v>
      </c>
      <c r="T239" t="s">
        <v>67</v>
      </c>
      <c r="U239" t="s">
        <v>92</v>
      </c>
      <c r="V239" t="b">
        <v>1</v>
      </c>
      <c r="W239">
        <v>0</v>
      </c>
      <c r="X239">
        <v>0</v>
      </c>
      <c r="Y239" t="s">
        <v>14</v>
      </c>
    </row>
    <row r="240" spans="1:25">
      <c r="A240" t="s">
        <v>346</v>
      </c>
      <c r="B240" t="s">
        <v>346</v>
      </c>
      <c r="C240" t="s">
        <v>87</v>
      </c>
      <c r="D240" t="s">
        <v>88</v>
      </c>
      <c r="E240" s="3">
        <v>45889</v>
      </c>
      <c r="F240">
        <v>-368.64</v>
      </c>
      <c r="G240" t="s">
        <v>56</v>
      </c>
      <c r="H240" t="s">
        <v>80</v>
      </c>
      <c r="I240" t="s">
        <v>97</v>
      </c>
      <c r="J240" t="s">
        <v>109</v>
      </c>
      <c r="K240" t="s">
        <v>78</v>
      </c>
      <c r="L240" t="s">
        <v>89</v>
      </c>
      <c r="M240" t="s">
        <v>90</v>
      </c>
      <c r="N240" s="3">
        <v>45889</v>
      </c>
      <c r="O240">
        <v>-368.64</v>
      </c>
      <c r="P240" t="s">
        <v>56</v>
      </c>
      <c r="Q240" t="s">
        <v>80</v>
      </c>
      <c r="R240" t="s">
        <v>97</v>
      </c>
      <c r="S240" t="s">
        <v>109</v>
      </c>
      <c r="T240" t="s">
        <v>78</v>
      </c>
      <c r="U240" t="s">
        <v>87</v>
      </c>
      <c r="V240" t="b">
        <v>1</v>
      </c>
      <c r="W240">
        <v>0</v>
      </c>
      <c r="X240">
        <v>0</v>
      </c>
      <c r="Y240" t="s">
        <v>14</v>
      </c>
    </row>
    <row r="241" spans="1:25">
      <c r="A241" t="s">
        <v>347</v>
      </c>
      <c r="B241" t="s">
        <v>347</v>
      </c>
      <c r="C241" t="s">
        <v>87</v>
      </c>
      <c r="D241" t="s">
        <v>88</v>
      </c>
      <c r="E241" s="3">
        <v>45903</v>
      </c>
      <c r="F241">
        <v>-571.08000000000004</v>
      </c>
      <c r="G241" t="s">
        <v>56</v>
      </c>
      <c r="H241" t="s">
        <v>80</v>
      </c>
      <c r="I241" t="s">
        <v>97</v>
      </c>
      <c r="J241" t="s">
        <v>81</v>
      </c>
      <c r="K241" t="s">
        <v>138</v>
      </c>
      <c r="L241" t="s">
        <v>89</v>
      </c>
      <c r="M241" t="s">
        <v>90</v>
      </c>
      <c r="N241" s="3">
        <v>45903</v>
      </c>
      <c r="O241">
        <v>-571.08000000000004</v>
      </c>
      <c r="P241" t="s">
        <v>56</v>
      </c>
      <c r="Q241" t="s">
        <v>80</v>
      </c>
      <c r="R241" t="s">
        <v>97</v>
      </c>
      <c r="S241" t="s">
        <v>81</v>
      </c>
      <c r="T241" t="s">
        <v>138</v>
      </c>
      <c r="U241" t="s">
        <v>87</v>
      </c>
      <c r="V241" t="b">
        <v>1</v>
      </c>
      <c r="W241">
        <v>0</v>
      </c>
      <c r="X241">
        <v>0</v>
      </c>
      <c r="Y241" t="s">
        <v>14</v>
      </c>
    </row>
    <row r="242" spans="1:25">
      <c r="A242" t="s">
        <v>348</v>
      </c>
      <c r="B242" t="s">
        <v>348</v>
      </c>
      <c r="C242" t="s">
        <v>87</v>
      </c>
      <c r="D242" t="s">
        <v>88</v>
      </c>
      <c r="E242" s="3">
        <v>45873</v>
      </c>
      <c r="F242">
        <v>466.8</v>
      </c>
      <c r="G242" t="s">
        <v>56</v>
      </c>
      <c r="H242" t="s">
        <v>57</v>
      </c>
      <c r="I242" t="s">
        <v>97</v>
      </c>
      <c r="J242" t="s">
        <v>109</v>
      </c>
      <c r="K242" t="s">
        <v>107</v>
      </c>
      <c r="L242" t="s">
        <v>89</v>
      </c>
      <c r="M242" t="s">
        <v>90</v>
      </c>
      <c r="N242" s="3">
        <v>45873</v>
      </c>
      <c r="O242">
        <v>466.8</v>
      </c>
      <c r="P242" t="s">
        <v>56</v>
      </c>
      <c r="Q242" t="s">
        <v>57</v>
      </c>
      <c r="R242" t="s">
        <v>97</v>
      </c>
      <c r="S242" t="s">
        <v>109</v>
      </c>
      <c r="T242" t="s">
        <v>107</v>
      </c>
      <c r="U242" t="s">
        <v>87</v>
      </c>
      <c r="V242" t="b">
        <v>1</v>
      </c>
      <c r="W242">
        <v>0</v>
      </c>
      <c r="X242">
        <v>0</v>
      </c>
      <c r="Y242" t="s">
        <v>14</v>
      </c>
    </row>
    <row r="243" spans="1:25">
      <c r="A243" t="s">
        <v>349</v>
      </c>
      <c r="B243" t="s">
        <v>349</v>
      </c>
      <c r="C243" t="s">
        <v>87</v>
      </c>
      <c r="D243" t="s">
        <v>88</v>
      </c>
      <c r="E243" s="3">
        <v>45881</v>
      </c>
      <c r="F243">
        <v>-25.03</v>
      </c>
      <c r="G243" t="s">
        <v>56</v>
      </c>
      <c r="H243" t="s">
        <v>65</v>
      </c>
      <c r="I243" t="s">
        <v>103</v>
      </c>
      <c r="J243" t="s">
        <v>109</v>
      </c>
      <c r="K243" t="s">
        <v>138</v>
      </c>
      <c r="L243" t="s">
        <v>89</v>
      </c>
      <c r="M243" t="s">
        <v>90</v>
      </c>
      <c r="N243" s="3">
        <v>45880</v>
      </c>
      <c r="O243">
        <v>-23.96</v>
      </c>
      <c r="P243" t="s">
        <v>56</v>
      </c>
      <c r="Q243" t="s">
        <v>65</v>
      </c>
      <c r="R243" t="s">
        <v>103</v>
      </c>
      <c r="S243" t="s">
        <v>109</v>
      </c>
      <c r="T243" t="s">
        <v>138</v>
      </c>
      <c r="U243" t="s">
        <v>87</v>
      </c>
      <c r="V243" t="b">
        <v>1</v>
      </c>
      <c r="W243">
        <v>-1.07</v>
      </c>
      <c r="X243">
        <v>1</v>
      </c>
      <c r="Y243" t="s">
        <v>17</v>
      </c>
    </row>
    <row r="244" spans="1:25">
      <c r="A244" t="s">
        <v>350</v>
      </c>
      <c r="B244" t="s">
        <v>350</v>
      </c>
      <c r="C244" t="s">
        <v>71</v>
      </c>
      <c r="D244" t="s">
        <v>72</v>
      </c>
      <c r="E244" s="3">
        <v>45874</v>
      </c>
      <c r="F244">
        <v>-818.84</v>
      </c>
      <c r="G244" t="s">
        <v>56</v>
      </c>
      <c r="H244" t="s">
        <v>57</v>
      </c>
      <c r="I244" t="s">
        <v>103</v>
      </c>
      <c r="J244" t="s">
        <v>81</v>
      </c>
      <c r="K244" t="s">
        <v>67</v>
      </c>
      <c r="L244" t="s">
        <v>74</v>
      </c>
      <c r="M244" t="s">
        <v>75</v>
      </c>
      <c r="N244" s="3">
        <v>45874</v>
      </c>
      <c r="O244">
        <v>-818.84</v>
      </c>
      <c r="P244" t="s">
        <v>56</v>
      </c>
      <c r="Q244" t="s">
        <v>57</v>
      </c>
      <c r="R244" t="s">
        <v>103</v>
      </c>
      <c r="S244" t="s">
        <v>81</v>
      </c>
      <c r="T244" t="s">
        <v>67</v>
      </c>
      <c r="U244" t="s">
        <v>71</v>
      </c>
      <c r="V244" t="b">
        <v>1</v>
      </c>
      <c r="W244">
        <v>0</v>
      </c>
      <c r="X244">
        <v>0</v>
      </c>
      <c r="Y244" t="s">
        <v>14</v>
      </c>
    </row>
    <row r="245" spans="1:25">
      <c r="A245" t="s">
        <v>351</v>
      </c>
      <c r="B245" t="s">
        <v>351</v>
      </c>
      <c r="C245" t="s">
        <v>92</v>
      </c>
      <c r="D245" t="s">
        <v>93</v>
      </c>
      <c r="E245" s="3">
        <v>45859</v>
      </c>
      <c r="F245">
        <v>-504.84</v>
      </c>
      <c r="G245" t="s">
        <v>56</v>
      </c>
      <c r="H245" t="s">
        <v>73</v>
      </c>
      <c r="I245" t="s">
        <v>97</v>
      </c>
      <c r="J245" t="s">
        <v>85</v>
      </c>
      <c r="K245" t="s">
        <v>105</v>
      </c>
      <c r="L245" t="s">
        <v>94</v>
      </c>
      <c r="M245" t="s">
        <v>95</v>
      </c>
      <c r="N245" s="3">
        <v>45859</v>
      </c>
      <c r="O245">
        <v>-504.84</v>
      </c>
      <c r="P245" t="s">
        <v>56</v>
      </c>
      <c r="Q245" t="s">
        <v>73</v>
      </c>
      <c r="R245" t="s">
        <v>97</v>
      </c>
      <c r="S245" t="s">
        <v>85</v>
      </c>
      <c r="T245" t="s">
        <v>105</v>
      </c>
      <c r="U245" t="s">
        <v>92</v>
      </c>
      <c r="V245" t="b">
        <v>1</v>
      </c>
      <c r="W245">
        <v>0</v>
      </c>
      <c r="X245">
        <v>0</v>
      </c>
      <c r="Y245" t="s">
        <v>14</v>
      </c>
    </row>
    <row r="246" spans="1:25">
      <c r="A246" t="s">
        <v>352</v>
      </c>
      <c r="B246" t="s">
        <v>352</v>
      </c>
      <c r="C246" t="s">
        <v>87</v>
      </c>
      <c r="D246" t="s">
        <v>88</v>
      </c>
      <c r="E246" s="3">
        <v>45886</v>
      </c>
      <c r="F246">
        <v>-684.09</v>
      </c>
      <c r="G246" t="s">
        <v>56</v>
      </c>
      <c r="H246" t="s">
        <v>80</v>
      </c>
      <c r="I246" t="s">
        <v>77</v>
      </c>
      <c r="J246" t="s">
        <v>66</v>
      </c>
      <c r="K246" t="s">
        <v>105</v>
      </c>
      <c r="L246" t="s">
        <v>100</v>
      </c>
      <c r="M246" t="s">
        <v>101</v>
      </c>
      <c r="N246" s="3">
        <v>45886</v>
      </c>
      <c r="O246">
        <v>-684.09</v>
      </c>
      <c r="P246" t="s">
        <v>56</v>
      </c>
      <c r="Q246" t="s">
        <v>80</v>
      </c>
      <c r="R246" t="s">
        <v>77</v>
      </c>
      <c r="S246" t="s">
        <v>66</v>
      </c>
      <c r="T246" t="s">
        <v>105</v>
      </c>
      <c r="U246" t="s">
        <v>87</v>
      </c>
      <c r="V246" t="b">
        <v>1</v>
      </c>
      <c r="W246">
        <v>0</v>
      </c>
      <c r="X246">
        <v>0</v>
      </c>
      <c r="Y246" t="s">
        <v>14</v>
      </c>
    </row>
    <row r="247" spans="1:25">
      <c r="A247" t="s">
        <v>353</v>
      </c>
      <c r="B247" t="s">
        <v>353</v>
      </c>
      <c r="C247" t="s">
        <v>87</v>
      </c>
      <c r="D247" t="s">
        <v>88</v>
      </c>
      <c r="E247" s="3">
        <v>45915</v>
      </c>
      <c r="F247">
        <v>206.77</v>
      </c>
      <c r="G247" t="s">
        <v>56</v>
      </c>
      <c r="H247" t="s">
        <v>73</v>
      </c>
      <c r="I247" t="s">
        <v>97</v>
      </c>
      <c r="J247" t="s">
        <v>109</v>
      </c>
      <c r="K247" t="s">
        <v>105</v>
      </c>
      <c r="L247" t="s">
        <v>89</v>
      </c>
      <c r="M247" t="s">
        <v>90</v>
      </c>
      <c r="N247" s="3">
        <v>45915</v>
      </c>
      <c r="O247">
        <v>206.77</v>
      </c>
      <c r="P247" t="s">
        <v>56</v>
      </c>
      <c r="Q247" t="s">
        <v>73</v>
      </c>
      <c r="R247" t="s">
        <v>97</v>
      </c>
      <c r="S247" t="s">
        <v>109</v>
      </c>
      <c r="T247" t="s">
        <v>105</v>
      </c>
      <c r="U247" t="s">
        <v>87</v>
      </c>
      <c r="V247" t="b">
        <v>1</v>
      </c>
      <c r="W247">
        <v>0</v>
      </c>
      <c r="X247">
        <v>0</v>
      </c>
      <c r="Y247" t="s">
        <v>14</v>
      </c>
    </row>
    <row r="248" spans="1:25">
      <c r="A248" t="s">
        <v>354</v>
      </c>
      <c r="B248" t="s">
        <v>354</v>
      </c>
      <c r="C248" t="s">
        <v>119</v>
      </c>
      <c r="D248" t="s">
        <v>120</v>
      </c>
      <c r="E248" s="3">
        <v>45911</v>
      </c>
      <c r="F248">
        <v>-822.05</v>
      </c>
      <c r="G248" t="s">
        <v>56</v>
      </c>
      <c r="H248" t="s">
        <v>65</v>
      </c>
      <c r="I248" t="s">
        <v>58</v>
      </c>
      <c r="J248" t="s">
        <v>117</v>
      </c>
      <c r="K248" t="s">
        <v>67</v>
      </c>
      <c r="L248" t="s">
        <v>121</v>
      </c>
      <c r="M248" t="s">
        <v>122</v>
      </c>
      <c r="N248" s="3">
        <v>45911</v>
      </c>
      <c r="O248">
        <v>-822.06</v>
      </c>
      <c r="P248" t="s">
        <v>56</v>
      </c>
      <c r="Q248" t="s">
        <v>65</v>
      </c>
      <c r="R248" t="s">
        <v>58</v>
      </c>
      <c r="S248" t="s">
        <v>117</v>
      </c>
      <c r="T248" t="s">
        <v>67</v>
      </c>
      <c r="U248" t="s">
        <v>119</v>
      </c>
      <c r="V248" t="b">
        <v>1</v>
      </c>
      <c r="W248">
        <v>0.01</v>
      </c>
      <c r="X248">
        <v>0</v>
      </c>
      <c r="Y248" t="s">
        <v>15</v>
      </c>
    </row>
    <row r="249" spans="1:25">
      <c r="A249" t="s">
        <v>355</v>
      </c>
      <c r="B249" t="s">
        <v>355</v>
      </c>
      <c r="C249" t="s">
        <v>54</v>
      </c>
      <c r="D249" t="s">
        <v>55</v>
      </c>
      <c r="E249" s="3">
        <v>45873</v>
      </c>
      <c r="F249">
        <v>352.93</v>
      </c>
      <c r="G249" t="s">
        <v>56</v>
      </c>
      <c r="H249" t="s">
        <v>57</v>
      </c>
      <c r="I249" t="s">
        <v>77</v>
      </c>
      <c r="J249" t="s">
        <v>81</v>
      </c>
      <c r="L249" t="s">
        <v>60</v>
      </c>
      <c r="M249" t="s">
        <v>61</v>
      </c>
      <c r="N249" s="3">
        <v>45873</v>
      </c>
      <c r="O249">
        <v>352.93</v>
      </c>
      <c r="P249" t="s">
        <v>56</v>
      </c>
      <c r="Q249" t="s">
        <v>57</v>
      </c>
      <c r="R249" t="s">
        <v>77</v>
      </c>
      <c r="S249" t="s">
        <v>81</v>
      </c>
      <c r="U249" t="s">
        <v>54</v>
      </c>
      <c r="V249" t="b">
        <v>1</v>
      </c>
      <c r="W249">
        <v>0</v>
      </c>
      <c r="X249">
        <v>0</v>
      </c>
      <c r="Y249" t="s">
        <v>14</v>
      </c>
    </row>
    <row r="250" spans="1:25">
      <c r="A250" t="s">
        <v>356</v>
      </c>
      <c r="B250" t="s">
        <v>356</v>
      </c>
      <c r="C250" t="s">
        <v>71</v>
      </c>
      <c r="D250" t="s">
        <v>72</v>
      </c>
      <c r="E250" s="3">
        <v>45902</v>
      </c>
      <c r="F250">
        <v>473.08</v>
      </c>
      <c r="G250" t="s">
        <v>56</v>
      </c>
      <c r="H250" t="s">
        <v>65</v>
      </c>
      <c r="I250" t="s">
        <v>103</v>
      </c>
      <c r="K250" t="s">
        <v>67</v>
      </c>
      <c r="L250" t="s">
        <v>74</v>
      </c>
      <c r="M250" t="s">
        <v>75</v>
      </c>
      <c r="N250" s="3">
        <v>45902</v>
      </c>
      <c r="O250">
        <v>473.08</v>
      </c>
      <c r="P250" t="s">
        <v>56</v>
      </c>
      <c r="Q250" t="s">
        <v>65</v>
      </c>
      <c r="R250" t="s">
        <v>103</v>
      </c>
      <c r="T250" t="s">
        <v>67</v>
      </c>
      <c r="U250" t="s">
        <v>71</v>
      </c>
      <c r="V250" t="b">
        <v>1</v>
      </c>
      <c r="W250">
        <v>0</v>
      </c>
      <c r="X250">
        <v>0</v>
      </c>
      <c r="Y250" t="s">
        <v>14</v>
      </c>
    </row>
    <row r="251" spans="1:25">
      <c r="A251" t="s">
        <v>357</v>
      </c>
      <c r="B251" t="s">
        <v>357</v>
      </c>
      <c r="C251" t="s">
        <v>92</v>
      </c>
      <c r="D251" t="s">
        <v>93</v>
      </c>
      <c r="E251" s="3">
        <v>45886</v>
      </c>
      <c r="F251">
        <v>-149.63999999999999</v>
      </c>
      <c r="G251" t="s">
        <v>56</v>
      </c>
      <c r="H251" t="s">
        <v>73</v>
      </c>
      <c r="I251" t="s">
        <v>97</v>
      </c>
      <c r="J251" t="s">
        <v>109</v>
      </c>
      <c r="K251" t="s">
        <v>138</v>
      </c>
      <c r="L251" t="s">
        <v>94</v>
      </c>
      <c r="M251" t="s">
        <v>95</v>
      </c>
      <c r="N251" s="3">
        <v>45886</v>
      </c>
      <c r="O251">
        <v>-149.63999999999999</v>
      </c>
      <c r="P251" t="s">
        <v>56</v>
      </c>
      <c r="Q251" t="s">
        <v>73</v>
      </c>
      <c r="R251" t="s">
        <v>97</v>
      </c>
      <c r="S251" t="s">
        <v>109</v>
      </c>
      <c r="T251" t="s">
        <v>138</v>
      </c>
      <c r="U251" t="s">
        <v>92</v>
      </c>
      <c r="V251" t="b">
        <v>1</v>
      </c>
      <c r="W251">
        <v>0</v>
      </c>
      <c r="X251">
        <v>0</v>
      </c>
      <c r="Y251" t="s">
        <v>14</v>
      </c>
    </row>
    <row r="252" spans="1:25">
      <c r="A252" t="s">
        <v>358</v>
      </c>
      <c r="B252" t="s">
        <v>358</v>
      </c>
      <c r="C252" t="s">
        <v>63</v>
      </c>
      <c r="D252" t="s">
        <v>64</v>
      </c>
      <c r="E252" s="3">
        <v>45881</v>
      </c>
      <c r="F252">
        <v>458.26</v>
      </c>
      <c r="G252" t="s">
        <v>56</v>
      </c>
      <c r="H252" t="s">
        <v>57</v>
      </c>
      <c r="I252" t="s">
        <v>58</v>
      </c>
      <c r="J252" t="s">
        <v>99</v>
      </c>
      <c r="K252" t="s">
        <v>59</v>
      </c>
      <c r="L252" t="s">
        <v>82</v>
      </c>
      <c r="M252" t="s">
        <v>83</v>
      </c>
      <c r="N252" s="3">
        <v>45879</v>
      </c>
      <c r="O252">
        <v>461.5</v>
      </c>
      <c r="P252" t="s">
        <v>56</v>
      </c>
      <c r="Q252" t="s">
        <v>57</v>
      </c>
      <c r="R252" t="s">
        <v>58</v>
      </c>
      <c r="S252" t="s">
        <v>99</v>
      </c>
      <c r="T252" t="s">
        <v>59</v>
      </c>
      <c r="U252" t="s">
        <v>63</v>
      </c>
      <c r="V252" t="b">
        <v>1</v>
      </c>
      <c r="W252">
        <v>-3.24</v>
      </c>
      <c r="X252">
        <v>2</v>
      </c>
      <c r="Y252" t="s">
        <v>17</v>
      </c>
    </row>
    <row r="253" spans="1:25">
      <c r="A253" t="s">
        <v>359</v>
      </c>
      <c r="B253" t="s">
        <v>359</v>
      </c>
      <c r="C253" t="s">
        <v>87</v>
      </c>
      <c r="D253" t="s">
        <v>88</v>
      </c>
      <c r="E253" s="3">
        <v>45867</v>
      </c>
      <c r="F253">
        <v>442.55</v>
      </c>
      <c r="G253" t="s">
        <v>56</v>
      </c>
      <c r="H253" t="s">
        <v>65</v>
      </c>
      <c r="I253" t="s">
        <v>103</v>
      </c>
      <c r="J253" t="s">
        <v>66</v>
      </c>
      <c r="L253" t="s">
        <v>89</v>
      </c>
      <c r="M253" t="s">
        <v>90</v>
      </c>
      <c r="N253" s="3">
        <v>45869</v>
      </c>
      <c r="O253">
        <v>444.71</v>
      </c>
      <c r="P253" t="s">
        <v>56</v>
      </c>
      <c r="Q253" t="s">
        <v>65</v>
      </c>
      <c r="R253" t="s">
        <v>103</v>
      </c>
      <c r="S253" t="s">
        <v>66</v>
      </c>
      <c r="U253" t="s">
        <v>87</v>
      </c>
      <c r="V253" t="b">
        <v>1</v>
      </c>
      <c r="W253">
        <v>-2.16</v>
      </c>
      <c r="X253">
        <v>-2</v>
      </c>
      <c r="Y253" t="s">
        <v>17</v>
      </c>
    </row>
    <row r="254" spans="1:25">
      <c r="A254" t="s">
        <v>360</v>
      </c>
      <c r="B254" t="s">
        <v>360</v>
      </c>
      <c r="C254" t="s">
        <v>119</v>
      </c>
      <c r="D254" t="s">
        <v>120</v>
      </c>
      <c r="E254" s="3">
        <v>45886</v>
      </c>
      <c r="F254">
        <v>453.66</v>
      </c>
      <c r="G254" t="s">
        <v>56</v>
      </c>
      <c r="H254" t="s">
        <v>73</v>
      </c>
      <c r="I254" t="s">
        <v>58</v>
      </c>
      <c r="J254" t="s">
        <v>109</v>
      </c>
      <c r="L254" t="s">
        <v>121</v>
      </c>
      <c r="M254" t="s">
        <v>122</v>
      </c>
      <c r="N254" s="3">
        <v>45886</v>
      </c>
      <c r="O254">
        <v>453.66</v>
      </c>
      <c r="P254" t="s">
        <v>56</v>
      </c>
      <c r="Q254" t="s">
        <v>73</v>
      </c>
      <c r="R254" t="s">
        <v>58</v>
      </c>
      <c r="S254" t="s">
        <v>109</v>
      </c>
      <c r="U254" t="s">
        <v>119</v>
      </c>
      <c r="V254" t="b">
        <v>1</v>
      </c>
      <c r="W254">
        <v>0</v>
      </c>
      <c r="X254">
        <v>0</v>
      </c>
      <c r="Y254" t="s">
        <v>14</v>
      </c>
    </row>
    <row r="255" spans="1:25">
      <c r="A255" t="s">
        <v>361</v>
      </c>
      <c r="B255" t="s">
        <v>361</v>
      </c>
      <c r="C255" t="s">
        <v>54</v>
      </c>
      <c r="D255" t="s">
        <v>55</v>
      </c>
      <c r="E255" s="3">
        <v>45890</v>
      </c>
      <c r="F255">
        <v>-609.63</v>
      </c>
      <c r="G255" t="s">
        <v>56</v>
      </c>
      <c r="H255" t="s">
        <v>73</v>
      </c>
      <c r="I255" t="s">
        <v>97</v>
      </c>
      <c r="J255" t="s">
        <v>109</v>
      </c>
      <c r="K255" t="s">
        <v>78</v>
      </c>
      <c r="L255" t="s">
        <v>60</v>
      </c>
      <c r="M255" t="s">
        <v>61</v>
      </c>
      <c r="N255" s="3">
        <v>45890</v>
      </c>
      <c r="O255">
        <v>-609.63</v>
      </c>
      <c r="P255" t="s">
        <v>56</v>
      </c>
      <c r="Q255" t="s">
        <v>73</v>
      </c>
      <c r="R255" t="s">
        <v>97</v>
      </c>
      <c r="S255" t="s">
        <v>109</v>
      </c>
      <c r="T255" t="s">
        <v>78</v>
      </c>
      <c r="U255" t="s">
        <v>54</v>
      </c>
      <c r="V255" t="b">
        <v>1</v>
      </c>
      <c r="W255">
        <v>0</v>
      </c>
      <c r="X255">
        <v>0</v>
      </c>
      <c r="Y255" t="s">
        <v>14</v>
      </c>
    </row>
    <row r="256" spans="1:25">
      <c r="A256" t="s">
        <v>362</v>
      </c>
      <c r="B256" t="s">
        <v>362</v>
      </c>
      <c r="C256" t="s">
        <v>71</v>
      </c>
      <c r="D256" t="s">
        <v>72</v>
      </c>
      <c r="E256" s="3">
        <v>45889</v>
      </c>
      <c r="F256">
        <v>515.09</v>
      </c>
      <c r="G256" t="s">
        <v>56</v>
      </c>
      <c r="H256" t="s">
        <v>57</v>
      </c>
      <c r="I256" t="s">
        <v>103</v>
      </c>
      <c r="J256" t="s">
        <v>109</v>
      </c>
      <c r="K256" t="s">
        <v>107</v>
      </c>
      <c r="L256" t="s">
        <v>74</v>
      </c>
      <c r="M256" t="s">
        <v>75</v>
      </c>
      <c r="N256" s="3">
        <v>45889</v>
      </c>
      <c r="O256">
        <v>515.09</v>
      </c>
      <c r="P256" t="s">
        <v>56</v>
      </c>
      <c r="Q256" t="s">
        <v>57</v>
      </c>
      <c r="R256" t="s">
        <v>103</v>
      </c>
      <c r="S256" t="s">
        <v>109</v>
      </c>
      <c r="T256" t="s">
        <v>107</v>
      </c>
      <c r="U256" t="s">
        <v>71</v>
      </c>
      <c r="V256" t="b">
        <v>1</v>
      </c>
      <c r="W256">
        <v>0</v>
      </c>
      <c r="X256">
        <v>0</v>
      </c>
      <c r="Y256" t="s">
        <v>14</v>
      </c>
    </row>
    <row r="257" spans="1:25">
      <c r="A257" t="s">
        <v>363</v>
      </c>
      <c r="B257" t="s">
        <v>363</v>
      </c>
      <c r="C257" t="s">
        <v>87</v>
      </c>
      <c r="D257" t="s">
        <v>88</v>
      </c>
      <c r="E257" s="3">
        <v>45874</v>
      </c>
      <c r="F257">
        <v>-743.95</v>
      </c>
      <c r="G257" t="s">
        <v>56</v>
      </c>
      <c r="H257" t="s">
        <v>57</v>
      </c>
      <c r="I257" t="s">
        <v>58</v>
      </c>
      <c r="J257" t="s">
        <v>66</v>
      </c>
      <c r="K257" t="s">
        <v>67</v>
      </c>
      <c r="L257" t="s">
        <v>100</v>
      </c>
      <c r="M257" t="s">
        <v>101</v>
      </c>
      <c r="N257" s="3">
        <v>45874</v>
      </c>
      <c r="O257">
        <v>-743.95</v>
      </c>
      <c r="P257" t="s">
        <v>56</v>
      </c>
      <c r="Q257" t="s">
        <v>57</v>
      </c>
      <c r="R257" t="s">
        <v>58</v>
      </c>
      <c r="S257" t="s">
        <v>66</v>
      </c>
      <c r="T257" t="s">
        <v>67</v>
      </c>
      <c r="U257" t="s">
        <v>87</v>
      </c>
      <c r="V257" t="b">
        <v>1</v>
      </c>
      <c r="W257">
        <v>0</v>
      </c>
      <c r="X257">
        <v>0</v>
      </c>
      <c r="Y257" t="s">
        <v>14</v>
      </c>
    </row>
    <row r="258" spans="1:25">
      <c r="A258" t="s">
        <v>364</v>
      </c>
      <c r="B258" t="s">
        <v>364</v>
      </c>
      <c r="C258" t="s">
        <v>71</v>
      </c>
      <c r="D258" t="s">
        <v>72</v>
      </c>
      <c r="E258" s="3">
        <v>45897</v>
      </c>
      <c r="F258">
        <v>382.96</v>
      </c>
      <c r="G258" t="s">
        <v>56</v>
      </c>
      <c r="H258" t="s">
        <v>80</v>
      </c>
      <c r="I258" t="s">
        <v>103</v>
      </c>
      <c r="J258" t="s">
        <v>66</v>
      </c>
      <c r="K258" t="s">
        <v>78</v>
      </c>
      <c r="L258" t="s">
        <v>74</v>
      </c>
      <c r="M258" t="s">
        <v>75</v>
      </c>
      <c r="N258" s="3">
        <v>45895</v>
      </c>
      <c r="O258">
        <v>395.64</v>
      </c>
      <c r="P258" t="s">
        <v>56</v>
      </c>
      <c r="Q258" t="s">
        <v>80</v>
      </c>
      <c r="R258" t="s">
        <v>103</v>
      </c>
      <c r="S258" t="s">
        <v>66</v>
      </c>
      <c r="T258" t="s">
        <v>78</v>
      </c>
      <c r="U258" t="s">
        <v>71</v>
      </c>
      <c r="V258" t="b">
        <v>1</v>
      </c>
      <c r="W258">
        <v>-12.68</v>
      </c>
      <c r="X258">
        <v>2</v>
      </c>
      <c r="Y258" t="s">
        <v>17</v>
      </c>
    </row>
    <row r="259" spans="1:25">
      <c r="A259" t="s">
        <v>365</v>
      </c>
      <c r="B259" t="s">
        <v>365</v>
      </c>
      <c r="C259" t="s">
        <v>87</v>
      </c>
      <c r="D259" t="s">
        <v>88</v>
      </c>
      <c r="E259" s="3">
        <v>45904</v>
      </c>
      <c r="F259">
        <v>251</v>
      </c>
      <c r="G259" t="s">
        <v>56</v>
      </c>
      <c r="H259" t="s">
        <v>65</v>
      </c>
      <c r="I259" t="s">
        <v>77</v>
      </c>
      <c r="J259" t="s">
        <v>117</v>
      </c>
      <c r="K259" t="s">
        <v>78</v>
      </c>
      <c r="L259" t="s">
        <v>100</v>
      </c>
      <c r="M259" t="s">
        <v>101</v>
      </c>
      <c r="N259" s="3">
        <v>45905</v>
      </c>
      <c r="O259">
        <v>250.99</v>
      </c>
      <c r="P259" t="s">
        <v>56</v>
      </c>
      <c r="Q259" t="s">
        <v>65</v>
      </c>
      <c r="R259" t="s">
        <v>77</v>
      </c>
      <c r="S259" t="s">
        <v>117</v>
      </c>
      <c r="T259" t="s">
        <v>78</v>
      </c>
      <c r="U259" t="s">
        <v>87</v>
      </c>
      <c r="V259" t="b">
        <v>1</v>
      </c>
      <c r="W259">
        <v>0.01</v>
      </c>
      <c r="X259">
        <v>-1</v>
      </c>
      <c r="Y259" t="s">
        <v>15</v>
      </c>
    </row>
    <row r="260" spans="1:25">
      <c r="A260" t="s">
        <v>366</v>
      </c>
      <c r="B260" t="s">
        <v>366</v>
      </c>
      <c r="C260" t="s">
        <v>150</v>
      </c>
      <c r="D260" t="s">
        <v>151</v>
      </c>
      <c r="E260" s="3">
        <v>45865</v>
      </c>
      <c r="F260">
        <v>495.22</v>
      </c>
      <c r="G260" t="s">
        <v>56</v>
      </c>
      <c r="H260" t="s">
        <v>57</v>
      </c>
      <c r="I260" t="s">
        <v>97</v>
      </c>
      <c r="J260" t="s">
        <v>117</v>
      </c>
      <c r="K260" t="s">
        <v>105</v>
      </c>
      <c r="L260" t="s">
        <v>152</v>
      </c>
      <c r="M260" t="s">
        <v>153</v>
      </c>
      <c r="N260" s="3">
        <v>45865</v>
      </c>
      <c r="O260">
        <v>495.22</v>
      </c>
      <c r="P260" t="s">
        <v>56</v>
      </c>
      <c r="Q260" t="s">
        <v>57</v>
      </c>
      <c r="R260" t="s">
        <v>97</v>
      </c>
      <c r="S260" t="s">
        <v>117</v>
      </c>
      <c r="T260" t="s">
        <v>105</v>
      </c>
      <c r="U260" t="s">
        <v>150</v>
      </c>
      <c r="V260" t="b">
        <v>1</v>
      </c>
      <c r="W260">
        <v>0</v>
      </c>
      <c r="X260">
        <v>0</v>
      </c>
      <c r="Y260" t="s">
        <v>14</v>
      </c>
    </row>
    <row r="261" spans="1:25">
      <c r="A261" t="s">
        <v>367</v>
      </c>
      <c r="B261" t="s">
        <v>367</v>
      </c>
      <c r="C261" t="s">
        <v>92</v>
      </c>
      <c r="D261" t="s">
        <v>93</v>
      </c>
      <c r="E261" s="3">
        <v>45903</v>
      </c>
      <c r="F261">
        <v>-657.09</v>
      </c>
      <c r="G261" t="s">
        <v>56</v>
      </c>
      <c r="H261" t="s">
        <v>65</v>
      </c>
      <c r="I261" t="s">
        <v>103</v>
      </c>
      <c r="J261" t="s">
        <v>109</v>
      </c>
      <c r="K261" t="s">
        <v>105</v>
      </c>
      <c r="L261" t="s">
        <v>125</v>
      </c>
      <c r="M261" t="s">
        <v>126</v>
      </c>
      <c r="N261" s="3">
        <v>45905</v>
      </c>
      <c r="O261">
        <v>-656.77</v>
      </c>
      <c r="P261" t="s">
        <v>56</v>
      </c>
      <c r="Q261" t="s">
        <v>65</v>
      </c>
      <c r="R261" t="s">
        <v>103</v>
      </c>
      <c r="S261" t="s">
        <v>109</v>
      </c>
      <c r="T261" t="s">
        <v>105</v>
      </c>
      <c r="U261" t="s">
        <v>92</v>
      </c>
      <c r="V261" t="b">
        <v>1</v>
      </c>
      <c r="W261">
        <v>-0.32</v>
      </c>
      <c r="X261">
        <v>-2</v>
      </c>
      <c r="Y261" t="s">
        <v>15</v>
      </c>
    </row>
    <row r="262" spans="1:25">
      <c r="A262" t="s">
        <v>368</v>
      </c>
      <c r="B262" t="s">
        <v>368</v>
      </c>
      <c r="C262" t="s">
        <v>71</v>
      </c>
      <c r="D262" t="s">
        <v>72</v>
      </c>
      <c r="E262" s="3">
        <v>45886</v>
      </c>
      <c r="F262">
        <v>811.16</v>
      </c>
      <c r="G262" t="s">
        <v>56</v>
      </c>
      <c r="H262" t="s">
        <v>65</v>
      </c>
      <c r="I262" t="s">
        <v>77</v>
      </c>
      <c r="J262" t="s">
        <v>99</v>
      </c>
      <c r="L262" t="s">
        <v>74</v>
      </c>
      <c r="M262" t="s">
        <v>75</v>
      </c>
      <c r="N262" s="3">
        <v>45887</v>
      </c>
      <c r="O262">
        <v>811.72</v>
      </c>
      <c r="P262" t="s">
        <v>56</v>
      </c>
      <c r="Q262" t="s">
        <v>65</v>
      </c>
      <c r="R262" t="s">
        <v>77</v>
      </c>
      <c r="S262" t="s">
        <v>99</v>
      </c>
      <c r="U262" t="s">
        <v>71</v>
      </c>
      <c r="V262" t="b">
        <v>1</v>
      </c>
      <c r="W262">
        <v>-0.56000000000000005</v>
      </c>
      <c r="X262">
        <v>-1</v>
      </c>
      <c r="Y262" t="s">
        <v>15</v>
      </c>
    </row>
    <row r="263" spans="1:25">
      <c r="A263" t="s">
        <v>369</v>
      </c>
      <c r="B263" t="s">
        <v>369</v>
      </c>
      <c r="C263" t="s">
        <v>87</v>
      </c>
      <c r="D263" t="s">
        <v>88</v>
      </c>
      <c r="E263" s="3">
        <v>45874</v>
      </c>
      <c r="F263">
        <v>703.48</v>
      </c>
      <c r="G263" t="s">
        <v>56</v>
      </c>
      <c r="H263" t="s">
        <v>80</v>
      </c>
      <c r="I263" t="s">
        <v>77</v>
      </c>
      <c r="J263" t="s">
        <v>109</v>
      </c>
      <c r="K263" t="s">
        <v>78</v>
      </c>
      <c r="L263" t="s">
        <v>89</v>
      </c>
      <c r="M263" t="s">
        <v>90</v>
      </c>
      <c r="N263" s="3">
        <v>45873</v>
      </c>
      <c r="O263">
        <v>703.45</v>
      </c>
      <c r="P263" t="s">
        <v>56</v>
      </c>
      <c r="Q263" t="s">
        <v>80</v>
      </c>
      <c r="R263" t="s">
        <v>77</v>
      </c>
      <c r="S263" t="s">
        <v>109</v>
      </c>
      <c r="T263" t="s">
        <v>78</v>
      </c>
      <c r="U263" t="s">
        <v>87</v>
      </c>
      <c r="V263" t="b">
        <v>1</v>
      </c>
      <c r="W263">
        <v>0.03</v>
      </c>
      <c r="X263">
        <v>1</v>
      </c>
      <c r="Y263" t="s">
        <v>15</v>
      </c>
    </row>
    <row r="264" spans="1:25">
      <c r="A264" t="s">
        <v>370</v>
      </c>
      <c r="B264" t="s">
        <v>370</v>
      </c>
      <c r="C264" t="s">
        <v>92</v>
      </c>
      <c r="D264" t="s">
        <v>93</v>
      </c>
      <c r="E264" s="3">
        <v>45857</v>
      </c>
      <c r="F264">
        <v>58.64</v>
      </c>
      <c r="G264" t="s">
        <v>56</v>
      </c>
      <c r="H264" t="s">
        <v>80</v>
      </c>
      <c r="I264" t="s">
        <v>103</v>
      </c>
      <c r="J264" t="s">
        <v>81</v>
      </c>
      <c r="K264" t="s">
        <v>105</v>
      </c>
      <c r="L264" t="s">
        <v>94</v>
      </c>
      <c r="M264" t="s">
        <v>95</v>
      </c>
      <c r="N264" s="3">
        <v>45857</v>
      </c>
      <c r="O264">
        <v>58.64</v>
      </c>
      <c r="P264" t="s">
        <v>56</v>
      </c>
      <c r="Q264" t="s">
        <v>80</v>
      </c>
      <c r="R264" t="s">
        <v>103</v>
      </c>
      <c r="S264" t="s">
        <v>81</v>
      </c>
      <c r="T264" t="s">
        <v>105</v>
      </c>
      <c r="U264" t="s">
        <v>92</v>
      </c>
      <c r="V264" t="b">
        <v>1</v>
      </c>
      <c r="W264">
        <v>0</v>
      </c>
      <c r="X264">
        <v>0</v>
      </c>
      <c r="Y264" t="s">
        <v>14</v>
      </c>
    </row>
    <row r="265" spans="1:25">
      <c r="A265" t="s">
        <v>371</v>
      </c>
      <c r="B265" t="s">
        <v>371</v>
      </c>
      <c r="C265" t="s">
        <v>87</v>
      </c>
      <c r="D265" t="s">
        <v>88</v>
      </c>
      <c r="E265" s="3">
        <v>45877</v>
      </c>
      <c r="F265">
        <v>594.26</v>
      </c>
      <c r="G265" t="s">
        <v>56</v>
      </c>
      <c r="H265" t="s">
        <v>73</v>
      </c>
      <c r="I265" t="s">
        <v>58</v>
      </c>
      <c r="J265" t="s">
        <v>109</v>
      </c>
      <c r="K265" t="s">
        <v>138</v>
      </c>
      <c r="L265" t="s">
        <v>100</v>
      </c>
      <c r="M265" t="s">
        <v>101</v>
      </c>
      <c r="N265" s="3">
        <v>45877</v>
      </c>
      <c r="O265">
        <v>594.26</v>
      </c>
      <c r="P265" t="s">
        <v>56</v>
      </c>
      <c r="Q265" t="s">
        <v>73</v>
      </c>
      <c r="R265" t="s">
        <v>58</v>
      </c>
      <c r="S265" t="s">
        <v>109</v>
      </c>
      <c r="T265" t="s">
        <v>138</v>
      </c>
      <c r="U265" t="s">
        <v>87</v>
      </c>
      <c r="V265" t="b">
        <v>1</v>
      </c>
      <c r="W265">
        <v>0</v>
      </c>
      <c r="X265">
        <v>0</v>
      </c>
      <c r="Y265" t="s">
        <v>14</v>
      </c>
    </row>
    <row r="266" spans="1:25">
      <c r="A266" t="s">
        <v>372</v>
      </c>
      <c r="B266" t="s">
        <v>372</v>
      </c>
      <c r="C266" t="s">
        <v>150</v>
      </c>
      <c r="D266" t="s">
        <v>151</v>
      </c>
      <c r="E266" s="3">
        <v>45916</v>
      </c>
      <c r="F266">
        <v>-865.09</v>
      </c>
      <c r="G266" t="s">
        <v>56</v>
      </c>
      <c r="H266" t="s">
        <v>73</v>
      </c>
      <c r="I266" t="s">
        <v>58</v>
      </c>
      <c r="J266" t="s">
        <v>66</v>
      </c>
      <c r="L266" t="s">
        <v>152</v>
      </c>
      <c r="M266" t="s">
        <v>153</v>
      </c>
      <c r="N266" s="3">
        <v>45916</v>
      </c>
      <c r="O266">
        <v>-865.09</v>
      </c>
      <c r="P266" t="s">
        <v>56</v>
      </c>
      <c r="Q266" t="s">
        <v>73</v>
      </c>
      <c r="R266" t="s">
        <v>58</v>
      </c>
      <c r="S266" t="s">
        <v>66</v>
      </c>
      <c r="U266" t="s">
        <v>150</v>
      </c>
      <c r="V266" t="b">
        <v>1</v>
      </c>
      <c r="W266">
        <v>0</v>
      </c>
      <c r="X266">
        <v>0</v>
      </c>
      <c r="Y266" t="s">
        <v>14</v>
      </c>
    </row>
    <row r="267" spans="1:25">
      <c r="A267" t="s">
        <v>373</v>
      </c>
      <c r="B267" t="s">
        <v>373</v>
      </c>
      <c r="C267" t="s">
        <v>119</v>
      </c>
      <c r="D267" t="s">
        <v>120</v>
      </c>
      <c r="E267" s="3">
        <v>45914</v>
      </c>
      <c r="F267">
        <v>-515.64</v>
      </c>
      <c r="G267" t="s">
        <v>56</v>
      </c>
      <c r="H267" t="s">
        <v>65</v>
      </c>
      <c r="I267" t="s">
        <v>103</v>
      </c>
      <c r="J267" t="s">
        <v>109</v>
      </c>
      <c r="K267" t="s">
        <v>59</v>
      </c>
      <c r="L267" t="s">
        <v>121</v>
      </c>
      <c r="M267" t="s">
        <v>122</v>
      </c>
      <c r="N267" s="3">
        <v>45914</v>
      </c>
      <c r="O267">
        <v>-515.64</v>
      </c>
      <c r="P267" t="s">
        <v>56</v>
      </c>
      <c r="Q267" t="s">
        <v>65</v>
      </c>
      <c r="R267" t="s">
        <v>103</v>
      </c>
      <c r="S267" t="s">
        <v>109</v>
      </c>
      <c r="T267" t="s">
        <v>59</v>
      </c>
      <c r="U267" t="s">
        <v>119</v>
      </c>
      <c r="V267" t="b">
        <v>1</v>
      </c>
      <c r="W267">
        <v>0</v>
      </c>
      <c r="X267">
        <v>0</v>
      </c>
      <c r="Y267" t="s">
        <v>14</v>
      </c>
    </row>
    <row r="268" spans="1:25">
      <c r="A268" t="s">
        <v>374</v>
      </c>
      <c r="B268" t="s">
        <v>374</v>
      </c>
      <c r="C268" t="s">
        <v>63</v>
      </c>
      <c r="D268" t="s">
        <v>64</v>
      </c>
      <c r="E268" s="3">
        <v>45899</v>
      </c>
      <c r="F268">
        <v>-370.99</v>
      </c>
      <c r="G268" t="s">
        <v>56</v>
      </c>
      <c r="H268" t="s">
        <v>57</v>
      </c>
      <c r="I268" t="s">
        <v>103</v>
      </c>
      <c r="J268" t="s">
        <v>99</v>
      </c>
      <c r="K268" t="s">
        <v>59</v>
      </c>
      <c r="L268" t="s">
        <v>82</v>
      </c>
      <c r="M268" t="s">
        <v>83</v>
      </c>
      <c r="N268" s="3">
        <v>45898</v>
      </c>
      <c r="O268">
        <v>-371.18</v>
      </c>
      <c r="P268" t="s">
        <v>56</v>
      </c>
      <c r="Q268" t="s">
        <v>57</v>
      </c>
      <c r="R268" t="s">
        <v>103</v>
      </c>
      <c r="S268" t="s">
        <v>99</v>
      </c>
      <c r="T268" t="s">
        <v>59</v>
      </c>
      <c r="U268" t="s">
        <v>63</v>
      </c>
      <c r="V268" t="b">
        <v>1</v>
      </c>
      <c r="W268">
        <v>0.19</v>
      </c>
      <c r="X268">
        <v>1</v>
      </c>
      <c r="Y268" t="s">
        <v>15</v>
      </c>
    </row>
    <row r="269" spans="1:25">
      <c r="A269" t="s">
        <v>375</v>
      </c>
      <c r="B269" t="s">
        <v>375</v>
      </c>
      <c r="C269" t="s">
        <v>63</v>
      </c>
      <c r="D269" t="s">
        <v>64</v>
      </c>
      <c r="E269" s="3">
        <v>45894</v>
      </c>
      <c r="F269">
        <v>-577.29</v>
      </c>
      <c r="G269" t="s">
        <v>56</v>
      </c>
      <c r="H269" t="s">
        <v>65</v>
      </c>
      <c r="I269" t="s">
        <v>97</v>
      </c>
      <c r="K269" t="s">
        <v>67</v>
      </c>
      <c r="L269" t="s">
        <v>68</v>
      </c>
      <c r="M269" t="s">
        <v>69</v>
      </c>
      <c r="N269" s="3">
        <v>45894</v>
      </c>
      <c r="O269">
        <v>-577.29</v>
      </c>
      <c r="P269" t="s">
        <v>56</v>
      </c>
      <c r="Q269" t="s">
        <v>65</v>
      </c>
      <c r="R269" t="s">
        <v>97</v>
      </c>
      <c r="T269" t="s">
        <v>67</v>
      </c>
      <c r="U269" t="s">
        <v>63</v>
      </c>
      <c r="V269" t="b">
        <v>1</v>
      </c>
      <c r="W269">
        <v>0</v>
      </c>
      <c r="X269">
        <v>0</v>
      </c>
      <c r="Y269" t="s">
        <v>14</v>
      </c>
    </row>
    <row r="270" spans="1:25">
      <c r="A270" t="s">
        <v>376</v>
      </c>
      <c r="B270" t="s">
        <v>376</v>
      </c>
      <c r="C270" t="s">
        <v>54</v>
      </c>
      <c r="D270" t="s">
        <v>55</v>
      </c>
      <c r="E270" s="3">
        <v>45907</v>
      </c>
      <c r="F270">
        <v>-374.19</v>
      </c>
      <c r="G270" t="s">
        <v>56</v>
      </c>
      <c r="H270" t="s">
        <v>73</v>
      </c>
      <c r="I270" t="s">
        <v>97</v>
      </c>
      <c r="J270" t="s">
        <v>85</v>
      </c>
      <c r="K270" t="s">
        <v>105</v>
      </c>
      <c r="L270" t="s">
        <v>60</v>
      </c>
      <c r="M270" t="s">
        <v>61</v>
      </c>
      <c r="N270" s="3">
        <v>45907</v>
      </c>
      <c r="O270">
        <v>-374.19</v>
      </c>
      <c r="P270" t="s">
        <v>56</v>
      </c>
      <c r="Q270" t="s">
        <v>73</v>
      </c>
      <c r="R270" t="s">
        <v>97</v>
      </c>
      <c r="S270" t="s">
        <v>85</v>
      </c>
      <c r="T270" t="s">
        <v>105</v>
      </c>
      <c r="U270" t="s">
        <v>54</v>
      </c>
      <c r="V270" t="b">
        <v>1</v>
      </c>
      <c r="W270">
        <v>0</v>
      </c>
      <c r="X270">
        <v>0</v>
      </c>
      <c r="Y270" t="s">
        <v>14</v>
      </c>
    </row>
    <row r="271" spans="1:25">
      <c r="A271" t="s">
        <v>377</v>
      </c>
      <c r="B271" t="s">
        <v>377</v>
      </c>
      <c r="C271" t="s">
        <v>119</v>
      </c>
      <c r="D271" t="s">
        <v>120</v>
      </c>
      <c r="E271" s="3">
        <v>45907</v>
      </c>
      <c r="F271">
        <v>-659.78</v>
      </c>
      <c r="G271" t="s">
        <v>56</v>
      </c>
      <c r="H271" t="s">
        <v>80</v>
      </c>
      <c r="I271" t="s">
        <v>97</v>
      </c>
      <c r="J271" t="s">
        <v>117</v>
      </c>
      <c r="K271" t="s">
        <v>105</v>
      </c>
      <c r="L271" t="s">
        <v>121</v>
      </c>
      <c r="M271" t="s">
        <v>122</v>
      </c>
      <c r="N271" s="3">
        <v>45907</v>
      </c>
      <c r="O271">
        <v>-659.78</v>
      </c>
      <c r="P271" t="s">
        <v>56</v>
      </c>
      <c r="Q271" t="s">
        <v>80</v>
      </c>
      <c r="R271" t="s">
        <v>97</v>
      </c>
      <c r="S271" t="s">
        <v>117</v>
      </c>
      <c r="T271" t="s">
        <v>105</v>
      </c>
      <c r="U271" t="s">
        <v>119</v>
      </c>
      <c r="V271" t="b">
        <v>1</v>
      </c>
      <c r="W271">
        <v>0</v>
      </c>
      <c r="X271">
        <v>0</v>
      </c>
      <c r="Y271" t="s">
        <v>14</v>
      </c>
    </row>
    <row r="272" spans="1:25">
      <c r="A272" t="s">
        <v>378</v>
      </c>
      <c r="B272" t="s">
        <v>378</v>
      </c>
      <c r="C272" t="s">
        <v>87</v>
      </c>
      <c r="D272" t="s">
        <v>88</v>
      </c>
      <c r="E272" s="3">
        <v>45890</v>
      </c>
      <c r="F272">
        <v>-496.75</v>
      </c>
      <c r="G272" t="s">
        <v>56</v>
      </c>
      <c r="H272" t="s">
        <v>73</v>
      </c>
      <c r="I272" t="s">
        <v>58</v>
      </c>
      <c r="J272" t="s">
        <v>85</v>
      </c>
      <c r="K272" t="s">
        <v>107</v>
      </c>
      <c r="L272" t="s">
        <v>89</v>
      </c>
      <c r="M272" t="s">
        <v>90</v>
      </c>
      <c r="N272" s="3">
        <v>45890</v>
      </c>
      <c r="O272">
        <v>-496.75</v>
      </c>
      <c r="P272" t="s">
        <v>56</v>
      </c>
      <c r="Q272" t="s">
        <v>73</v>
      </c>
      <c r="R272" t="s">
        <v>58</v>
      </c>
      <c r="S272" t="s">
        <v>85</v>
      </c>
      <c r="T272" t="s">
        <v>107</v>
      </c>
      <c r="U272" t="s">
        <v>87</v>
      </c>
      <c r="V272" t="b">
        <v>1</v>
      </c>
      <c r="W272">
        <v>0</v>
      </c>
      <c r="X272">
        <v>0</v>
      </c>
      <c r="Y272" t="s">
        <v>14</v>
      </c>
    </row>
    <row r="273" spans="1:25">
      <c r="A273" t="s">
        <v>379</v>
      </c>
      <c r="B273" t="s">
        <v>379</v>
      </c>
      <c r="C273" t="s">
        <v>87</v>
      </c>
      <c r="D273" t="s">
        <v>88</v>
      </c>
      <c r="E273" s="3">
        <v>45883</v>
      </c>
      <c r="F273">
        <v>-848.25</v>
      </c>
      <c r="G273" t="s">
        <v>56</v>
      </c>
      <c r="H273" t="s">
        <v>65</v>
      </c>
      <c r="I273" t="s">
        <v>77</v>
      </c>
      <c r="J273" t="s">
        <v>117</v>
      </c>
      <c r="K273" t="s">
        <v>59</v>
      </c>
      <c r="L273" t="s">
        <v>100</v>
      </c>
      <c r="M273" t="s">
        <v>101</v>
      </c>
      <c r="N273" s="3">
        <v>45883</v>
      </c>
      <c r="O273">
        <v>-848.25</v>
      </c>
      <c r="P273" t="s">
        <v>56</v>
      </c>
      <c r="Q273" t="s">
        <v>65</v>
      </c>
      <c r="R273" t="s">
        <v>77</v>
      </c>
      <c r="S273" t="s">
        <v>117</v>
      </c>
      <c r="T273" t="s">
        <v>59</v>
      </c>
      <c r="U273" t="s">
        <v>87</v>
      </c>
      <c r="V273" t="b">
        <v>1</v>
      </c>
      <c r="W273">
        <v>0</v>
      </c>
      <c r="X273">
        <v>0</v>
      </c>
      <c r="Y273" t="s">
        <v>14</v>
      </c>
    </row>
    <row r="274" spans="1:25">
      <c r="A274" t="s">
        <v>380</v>
      </c>
      <c r="B274" t="s">
        <v>380</v>
      </c>
      <c r="C274" t="s">
        <v>63</v>
      </c>
      <c r="D274" t="s">
        <v>64</v>
      </c>
      <c r="E274" s="3">
        <v>45887</v>
      </c>
      <c r="F274">
        <v>624.88</v>
      </c>
      <c r="G274" t="s">
        <v>56</v>
      </c>
      <c r="H274" t="s">
        <v>65</v>
      </c>
      <c r="I274" t="s">
        <v>77</v>
      </c>
      <c r="J274" t="s">
        <v>81</v>
      </c>
      <c r="K274" t="s">
        <v>67</v>
      </c>
      <c r="L274" t="s">
        <v>82</v>
      </c>
      <c r="M274" t="s">
        <v>83</v>
      </c>
      <c r="N274" s="3">
        <v>45887</v>
      </c>
      <c r="O274">
        <v>624.88</v>
      </c>
      <c r="P274" t="s">
        <v>56</v>
      </c>
      <c r="Q274" t="s">
        <v>65</v>
      </c>
      <c r="R274" t="s">
        <v>77</v>
      </c>
      <c r="S274" t="s">
        <v>81</v>
      </c>
      <c r="T274" t="s">
        <v>67</v>
      </c>
      <c r="U274" t="s">
        <v>63</v>
      </c>
      <c r="V274" t="b">
        <v>1</v>
      </c>
      <c r="W274">
        <v>0</v>
      </c>
      <c r="X274">
        <v>0</v>
      </c>
      <c r="Y274" t="s">
        <v>14</v>
      </c>
    </row>
    <row r="275" spans="1:25">
      <c r="A275" t="s">
        <v>381</v>
      </c>
      <c r="B275" t="s">
        <v>381</v>
      </c>
      <c r="C275" t="s">
        <v>150</v>
      </c>
      <c r="D275" t="s">
        <v>151</v>
      </c>
      <c r="E275" s="3">
        <v>45891</v>
      </c>
      <c r="F275">
        <v>319.02999999999997</v>
      </c>
      <c r="G275" t="s">
        <v>56</v>
      </c>
      <c r="H275" t="s">
        <v>57</v>
      </c>
      <c r="I275" t="s">
        <v>97</v>
      </c>
      <c r="K275" t="s">
        <v>138</v>
      </c>
      <c r="L275" t="s">
        <v>152</v>
      </c>
      <c r="M275" t="s">
        <v>153</v>
      </c>
      <c r="N275" s="3">
        <v>45891</v>
      </c>
      <c r="O275">
        <v>319.02999999999997</v>
      </c>
      <c r="P275" t="s">
        <v>56</v>
      </c>
      <c r="Q275" t="s">
        <v>57</v>
      </c>
      <c r="R275" t="s">
        <v>97</v>
      </c>
      <c r="T275" t="s">
        <v>138</v>
      </c>
      <c r="U275" t="s">
        <v>150</v>
      </c>
      <c r="V275" t="b">
        <v>1</v>
      </c>
      <c r="W275">
        <v>0</v>
      </c>
      <c r="X275">
        <v>0</v>
      </c>
      <c r="Y275" t="s">
        <v>14</v>
      </c>
    </row>
    <row r="276" spans="1:25">
      <c r="A276" t="s">
        <v>382</v>
      </c>
      <c r="B276" t="s">
        <v>382</v>
      </c>
      <c r="C276" t="s">
        <v>92</v>
      </c>
      <c r="D276" t="s">
        <v>93</v>
      </c>
      <c r="E276" s="3">
        <v>45901</v>
      </c>
      <c r="F276">
        <v>651.16</v>
      </c>
      <c r="G276" t="s">
        <v>56</v>
      </c>
      <c r="H276" t="s">
        <v>80</v>
      </c>
      <c r="I276" t="s">
        <v>77</v>
      </c>
      <c r="J276" t="s">
        <v>99</v>
      </c>
      <c r="K276" t="s">
        <v>67</v>
      </c>
      <c r="L276" t="s">
        <v>94</v>
      </c>
      <c r="M276" t="s">
        <v>95</v>
      </c>
      <c r="N276" s="3">
        <v>45903</v>
      </c>
      <c r="O276">
        <v>655.37</v>
      </c>
      <c r="P276" t="s">
        <v>56</v>
      </c>
      <c r="Q276" t="s">
        <v>80</v>
      </c>
      <c r="R276" t="s">
        <v>77</v>
      </c>
      <c r="S276" t="s">
        <v>99</v>
      </c>
      <c r="T276" t="s">
        <v>67</v>
      </c>
      <c r="U276" t="s">
        <v>92</v>
      </c>
      <c r="V276" t="b">
        <v>1</v>
      </c>
      <c r="W276">
        <v>-4.21</v>
      </c>
      <c r="X276">
        <v>-2</v>
      </c>
      <c r="Y276" t="s">
        <v>17</v>
      </c>
    </row>
    <row r="277" spans="1:25">
      <c r="A277" t="s">
        <v>383</v>
      </c>
      <c r="B277" t="s">
        <v>383</v>
      </c>
      <c r="C277" t="s">
        <v>71</v>
      </c>
      <c r="D277" t="s">
        <v>72</v>
      </c>
      <c r="E277" s="3">
        <v>45900</v>
      </c>
      <c r="F277">
        <v>-734</v>
      </c>
      <c r="G277" t="s">
        <v>56</v>
      </c>
      <c r="H277" t="s">
        <v>80</v>
      </c>
      <c r="I277" t="s">
        <v>58</v>
      </c>
      <c r="J277" t="s">
        <v>66</v>
      </c>
      <c r="K277" t="s">
        <v>59</v>
      </c>
      <c r="L277" t="s">
        <v>74</v>
      </c>
      <c r="M277" t="s">
        <v>75</v>
      </c>
      <c r="N277" s="3">
        <v>45900</v>
      </c>
      <c r="O277">
        <v>-734</v>
      </c>
      <c r="P277" t="s">
        <v>56</v>
      </c>
      <c r="Q277" t="s">
        <v>80</v>
      </c>
      <c r="R277" t="s">
        <v>58</v>
      </c>
      <c r="S277" t="s">
        <v>66</v>
      </c>
      <c r="T277" t="s">
        <v>59</v>
      </c>
      <c r="U277" t="s">
        <v>71</v>
      </c>
      <c r="V277" t="b">
        <v>1</v>
      </c>
      <c r="W277">
        <v>0</v>
      </c>
      <c r="X277">
        <v>0</v>
      </c>
      <c r="Y277" t="s">
        <v>14</v>
      </c>
    </row>
    <row r="278" spans="1:25">
      <c r="A278" t="s">
        <v>384</v>
      </c>
      <c r="B278" t="s">
        <v>384</v>
      </c>
      <c r="C278" t="s">
        <v>63</v>
      </c>
      <c r="D278" t="s">
        <v>64</v>
      </c>
      <c r="E278" s="3">
        <v>45900</v>
      </c>
      <c r="F278">
        <v>357.89</v>
      </c>
      <c r="G278" t="s">
        <v>56</v>
      </c>
      <c r="H278" t="s">
        <v>80</v>
      </c>
      <c r="I278" t="s">
        <v>58</v>
      </c>
      <c r="J278" t="s">
        <v>85</v>
      </c>
      <c r="K278" t="s">
        <v>67</v>
      </c>
      <c r="L278" t="s">
        <v>82</v>
      </c>
      <c r="M278" t="s">
        <v>83</v>
      </c>
      <c r="N278" s="3">
        <v>45899</v>
      </c>
      <c r="O278">
        <v>356.04</v>
      </c>
      <c r="P278" t="s">
        <v>56</v>
      </c>
      <c r="Q278" t="s">
        <v>80</v>
      </c>
      <c r="R278" t="s">
        <v>58</v>
      </c>
      <c r="S278" t="s">
        <v>85</v>
      </c>
      <c r="T278" t="s">
        <v>67</v>
      </c>
      <c r="U278" t="s">
        <v>63</v>
      </c>
      <c r="V278" t="b">
        <v>1</v>
      </c>
      <c r="W278">
        <v>1.85</v>
      </c>
      <c r="X278">
        <v>1</v>
      </c>
      <c r="Y278" t="s">
        <v>17</v>
      </c>
    </row>
    <row r="279" spans="1:25">
      <c r="A279" t="s">
        <v>385</v>
      </c>
      <c r="B279" t="s">
        <v>385</v>
      </c>
      <c r="C279" t="s">
        <v>92</v>
      </c>
      <c r="D279" t="s">
        <v>93</v>
      </c>
      <c r="E279" s="3">
        <v>45905</v>
      </c>
      <c r="F279">
        <v>393.55</v>
      </c>
      <c r="G279" t="s">
        <v>56</v>
      </c>
      <c r="H279" t="s">
        <v>57</v>
      </c>
      <c r="I279" t="s">
        <v>97</v>
      </c>
      <c r="J279" t="s">
        <v>109</v>
      </c>
      <c r="K279" t="s">
        <v>67</v>
      </c>
      <c r="L279" t="s">
        <v>94</v>
      </c>
      <c r="M279" t="s">
        <v>95</v>
      </c>
      <c r="N279" s="3">
        <v>45905</v>
      </c>
      <c r="O279">
        <v>393.55</v>
      </c>
      <c r="P279" t="s">
        <v>56</v>
      </c>
      <c r="Q279" t="s">
        <v>57</v>
      </c>
      <c r="R279" t="s">
        <v>97</v>
      </c>
      <c r="S279" t="s">
        <v>109</v>
      </c>
      <c r="T279" t="s">
        <v>67</v>
      </c>
      <c r="U279" t="s">
        <v>92</v>
      </c>
      <c r="V279" t="b">
        <v>1</v>
      </c>
      <c r="W279">
        <v>0</v>
      </c>
      <c r="X279">
        <v>0</v>
      </c>
      <c r="Y279" t="s">
        <v>14</v>
      </c>
    </row>
    <row r="280" spans="1:25">
      <c r="A280" t="s">
        <v>386</v>
      </c>
      <c r="B280" t="s">
        <v>386</v>
      </c>
      <c r="C280" t="s">
        <v>150</v>
      </c>
      <c r="D280" t="s">
        <v>151</v>
      </c>
      <c r="E280" s="3">
        <v>45878</v>
      </c>
      <c r="F280">
        <v>76.3</v>
      </c>
      <c r="G280" t="s">
        <v>56</v>
      </c>
      <c r="H280" t="s">
        <v>80</v>
      </c>
      <c r="I280" t="s">
        <v>103</v>
      </c>
      <c r="J280" t="s">
        <v>117</v>
      </c>
      <c r="L280" t="s">
        <v>152</v>
      </c>
      <c r="M280" t="s">
        <v>153</v>
      </c>
      <c r="N280" s="3">
        <v>45878</v>
      </c>
      <c r="O280">
        <v>76.3</v>
      </c>
      <c r="P280" t="s">
        <v>56</v>
      </c>
      <c r="Q280" t="s">
        <v>80</v>
      </c>
      <c r="R280" t="s">
        <v>103</v>
      </c>
      <c r="S280" t="s">
        <v>117</v>
      </c>
      <c r="U280" t="s">
        <v>150</v>
      </c>
      <c r="V280" t="b">
        <v>1</v>
      </c>
      <c r="W280">
        <v>0</v>
      </c>
      <c r="X280">
        <v>0</v>
      </c>
      <c r="Y280" t="s">
        <v>14</v>
      </c>
    </row>
    <row r="281" spans="1:25">
      <c r="A281" t="s">
        <v>387</v>
      </c>
      <c r="B281" t="s">
        <v>387</v>
      </c>
      <c r="C281" t="s">
        <v>92</v>
      </c>
      <c r="D281" t="s">
        <v>93</v>
      </c>
      <c r="E281" s="3">
        <v>45892</v>
      </c>
      <c r="F281">
        <v>725.85</v>
      </c>
      <c r="G281" t="s">
        <v>56</v>
      </c>
      <c r="H281" t="s">
        <v>65</v>
      </c>
      <c r="I281" t="s">
        <v>103</v>
      </c>
      <c r="J281" t="s">
        <v>117</v>
      </c>
      <c r="K281" t="s">
        <v>138</v>
      </c>
      <c r="L281" t="s">
        <v>125</v>
      </c>
      <c r="M281" t="s">
        <v>126</v>
      </c>
      <c r="N281" s="3">
        <v>45892</v>
      </c>
      <c r="O281">
        <v>725.85</v>
      </c>
      <c r="P281" t="s">
        <v>56</v>
      </c>
      <c r="Q281" t="s">
        <v>65</v>
      </c>
      <c r="R281" t="s">
        <v>103</v>
      </c>
      <c r="S281" t="s">
        <v>117</v>
      </c>
      <c r="T281" t="s">
        <v>138</v>
      </c>
      <c r="U281" t="s">
        <v>92</v>
      </c>
      <c r="V281" t="b">
        <v>1</v>
      </c>
      <c r="W281">
        <v>0</v>
      </c>
      <c r="X281">
        <v>0</v>
      </c>
      <c r="Y281" t="s">
        <v>14</v>
      </c>
    </row>
    <row r="282" spans="1:25">
      <c r="A282" t="s">
        <v>388</v>
      </c>
      <c r="B282" t="s">
        <v>388</v>
      </c>
      <c r="C282" t="s">
        <v>71</v>
      </c>
      <c r="D282" t="s">
        <v>72</v>
      </c>
      <c r="E282" s="3">
        <v>45873</v>
      </c>
      <c r="F282">
        <v>353.06</v>
      </c>
      <c r="G282" t="s">
        <v>56</v>
      </c>
      <c r="H282" t="s">
        <v>80</v>
      </c>
      <c r="I282" t="s">
        <v>103</v>
      </c>
      <c r="J282" t="s">
        <v>99</v>
      </c>
      <c r="L282" t="s">
        <v>74</v>
      </c>
      <c r="M282" t="s">
        <v>75</v>
      </c>
      <c r="N282" s="3">
        <v>45873</v>
      </c>
      <c r="O282">
        <v>353.06</v>
      </c>
      <c r="P282" t="s">
        <v>56</v>
      </c>
      <c r="Q282" t="s">
        <v>80</v>
      </c>
      <c r="R282" t="s">
        <v>103</v>
      </c>
      <c r="S282" t="s">
        <v>99</v>
      </c>
      <c r="U282" t="s">
        <v>71</v>
      </c>
      <c r="V282" t="b">
        <v>1</v>
      </c>
      <c r="W282">
        <v>0</v>
      </c>
      <c r="X282">
        <v>0</v>
      </c>
      <c r="Y282" t="s">
        <v>14</v>
      </c>
    </row>
    <row r="283" spans="1:25">
      <c r="A283" t="s">
        <v>389</v>
      </c>
      <c r="B283" t="s">
        <v>389</v>
      </c>
      <c r="C283" t="s">
        <v>92</v>
      </c>
      <c r="D283" t="s">
        <v>93</v>
      </c>
      <c r="E283" s="3">
        <v>45882</v>
      </c>
      <c r="F283">
        <v>30.59</v>
      </c>
      <c r="G283" t="s">
        <v>56</v>
      </c>
      <c r="H283" t="s">
        <v>80</v>
      </c>
      <c r="I283" t="s">
        <v>103</v>
      </c>
      <c r="J283" t="s">
        <v>81</v>
      </c>
      <c r="K283" t="s">
        <v>105</v>
      </c>
      <c r="L283" t="s">
        <v>94</v>
      </c>
      <c r="M283" t="s">
        <v>95</v>
      </c>
      <c r="N283" s="3">
        <v>45882</v>
      </c>
      <c r="O283">
        <v>30.59</v>
      </c>
      <c r="P283" t="s">
        <v>56</v>
      </c>
      <c r="Q283" t="s">
        <v>80</v>
      </c>
      <c r="R283" t="s">
        <v>103</v>
      </c>
      <c r="S283" t="s">
        <v>81</v>
      </c>
      <c r="T283" t="s">
        <v>105</v>
      </c>
      <c r="U283" t="s">
        <v>92</v>
      </c>
      <c r="V283" t="b">
        <v>1</v>
      </c>
      <c r="W283">
        <v>0</v>
      </c>
      <c r="X283">
        <v>0</v>
      </c>
      <c r="Y283" t="s">
        <v>14</v>
      </c>
    </row>
    <row r="284" spans="1:25">
      <c r="A284" t="s">
        <v>390</v>
      </c>
      <c r="B284" t="s">
        <v>390</v>
      </c>
      <c r="C284" t="s">
        <v>92</v>
      </c>
      <c r="D284" t="s">
        <v>93</v>
      </c>
      <c r="E284" s="3">
        <v>45907</v>
      </c>
      <c r="F284">
        <v>-57.81</v>
      </c>
      <c r="G284" t="s">
        <v>56</v>
      </c>
      <c r="H284" t="s">
        <v>65</v>
      </c>
      <c r="I284" t="s">
        <v>103</v>
      </c>
      <c r="J284" t="s">
        <v>109</v>
      </c>
      <c r="K284" t="s">
        <v>138</v>
      </c>
      <c r="L284" t="s">
        <v>94</v>
      </c>
      <c r="M284" t="s">
        <v>95</v>
      </c>
      <c r="N284" s="3">
        <v>45907</v>
      </c>
      <c r="O284">
        <v>-57.81</v>
      </c>
      <c r="P284" t="s">
        <v>56</v>
      </c>
      <c r="Q284" t="s">
        <v>65</v>
      </c>
      <c r="R284" t="s">
        <v>103</v>
      </c>
      <c r="S284" t="s">
        <v>109</v>
      </c>
      <c r="T284" t="s">
        <v>138</v>
      </c>
      <c r="U284" t="s">
        <v>92</v>
      </c>
      <c r="V284" t="b">
        <v>1</v>
      </c>
      <c r="W284">
        <v>0</v>
      </c>
      <c r="X284">
        <v>0</v>
      </c>
      <c r="Y284" t="s">
        <v>14</v>
      </c>
    </row>
    <row r="285" spans="1:25">
      <c r="A285" t="s">
        <v>391</v>
      </c>
      <c r="B285" t="s">
        <v>391</v>
      </c>
      <c r="C285" t="s">
        <v>150</v>
      </c>
      <c r="D285" t="s">
        <v>151</v>
      </c>
      <c r="E285" s="3">
        <v>45894</v>
      </c>
      <c r="F285">
        <v>444.26</v>
      </c>
      <c r="G285" t="s">
        <v>56</v>
      </c>
      <c r="H285" t="s">
        <v>57</v>
      </c>
      <c r="I285" t="s">
        <v>58</v>
      </c>
      <c r="J285" t="s">
        <v>117</v>
      </c>
      <c r="K285" t="s">
        <v>105</v>
      </c>
      <c r="L285" t="s">
        <v>152</v>
      </c>
      <c r="M285" t="s">
        <v>153</v>
      </c>
      <c r="N285" s="3">
        <v>45897</v>
      </c>
      <c r="O285">
        <v>446.19</v>
      </c>
      <c r="P285" t="s">
        <v>56</v>
      </c>
      <c r="Q285" t="s">
        <v>57</v>
      </c>
      <c r="R285" t="s">
        <v>58</v>
      </c>
      <c r="S285" t="s">
        <v>117</v>
      </c>
      <c r="T285" t="s">
        <v>105</v>
      </c>
      <c r="U285" t="s">
        <v>150</v>
      </c>
      <c r="V285" t="b">
        <v>1</v>
      </c>
      <c r="W285">
        <v>-1.93</v>
      </c>
      <c r="X285">
        <v>-3</v>
      </c>
      <c r="Y285" t="s">
        <v>17</v>
      </c>
    </row>
    <row r="286" spans="1:25">
      <c r="A286" t="s">
        <v>392</v>
      </c>
      <c r="B286" t="s">
        <v>392</v>
      </c>
      <c r="C286" t="s">
        <v>92</v>
      </c>
      <c r="D286" t="s">
        <v>93</v>
      </c>
      <c r="E286" s="3">
        <v>45913</v>
      </c>
      <c r="F286">
        <v>690.16</v>
      </c>
      <c r="G286" t="s">
        <v>56</v>
      </c>
      <c r="H286" t="s">
        <v>57</v>
      </c>
      <c r="I286" t="s">
        <v>77</v>
      </c>
      <c r="J286" t="s">
        <v>99</v>
      </c>
      <c r="K286" t="s">
        <v>107</v>
      </c>
      <c r="L286" t="s">
        <v>125</v>
      </c>
      <c r="M286" t="s">
        <v>126</v>
      </c>
      <c r="N286" s="3">
        <v>45913</v>
      </c>
      <c r="O286">
        <v>690.16</v>
      </c>
      <c r="P286" t="s">
        <v>56</v>
      </c>
      <c r="Q286" t="s">
        <v>57</v>
      </c>
      <c r="R286" t="s">
        <v>77</v>
      </c>
      <c r="S286" t="s">
        <v>99</v>
      </c>
      <c r="T286" t="s">
        <v>107</v>
      </c>
      <c r="U286" t="s">
        <v>92</v>
      </c>
      <c r="V286" t="b">
        <v>1</v>
      </c>
      <c r="W286">
        <v>0</v>
      </c>
      <c r="X286">
        <v>0</v>
      </c>
      <c r="Y286" t="s">
        <v>14</v>
      </c>
    </row>
    <row r="287" spans="1:25">
      <c r="A287" t="s">
        <v>393</v>
      </c>
      <c r="B287" t="s">
        <v>393</v>
      </c>
      <c r="C287" t="s">
        <v>63</v>
      </c>
      <c r="D287" t="s">
        <v>64</v>
      </c>
      <c r="E287" s="3">
        <v>45859</v>
      </c>
      <c r="F287">
        <v>-477.73</v>
      </c>
      <c r="G287" t="s">
        <v>56</v>
      </c>
      <c r="H287" t="s">
        <v>73</v>
      </c>
      <c r="I287" t="s">
        <v>58</v>
      </c>
      <c r="K287" t="s">
        <v>59</v>
      </c>
      <c r="L287" t="s">
        <v>82</v>
      </c>
      <c r="M287" t="s">
        <v>83</v>
      </c>
      <c r="N287" s="3">
        <v>45859</v>
      </c>
      <c r="O287">
        <v>-477.73</v>
      </c>
      <c r="P287" t="s">
        <v>56</v>
      </c>
      <c r="Q287" t="s">
        <v>73</v>
      </c>
      <c r="R287" t="s">
        <v>58</v>
      </c>
      <c r="T287" t="s">
        <v>59</v>
      </c>
      <c r="U287" t="s">
        <v>63</v>
      </c>
      <c r="V287" t="b">
        <v>1</v>
      </c>
      <c r="W287">
        <v>0</v>
      </c>
      <c r="X287">
        <v>0</v>
      </c>
      <c r="Y287" t="s">
        <v>14</v>
      </c>
    </row>
    <row r="288" spans="1:25">
      <c r="A288" t="s">
        <v>394</v>
      </c>
      <c r="B288" t="s">
        <v>394</v>
      </c>
      <c r="C288" t="s">
        <v>92</v>
      </c>
      <c r="D288" t="s">
        <v>93</v>
      </c>
      <c r="E288" s="3">
        <v>45896</v>
      </c>
      <c r="F288">
        <v>-617.94000000000005</v>
      </c>
      <c r="G288" t="s">
        <v>56</v>
      </c>
      <c r="H288" t="s">
        <v>65</v>
      </c>
      <c r="I288" t="s">
        <v>58</v>
      </c>
      <c r="J288" t="s">
        <v>81</v>
      </c>
      <c r="K288" t="s">
        <v>107</v>
      </c>
      <c r="L288" t="s">
        <v>125</v>
      </c>
      <c r="M288" t="s">
        <v>126</v>
      </c>
      <c r="N288" s="3">
        <v>45896</v>
      </c>
      <c r="O288">
        <v>-617.94000000000005</v>
      </c>
      <c r="P288" t="s">
        <v>56</v>
      </c>
      <c r="Q288" t="s">
        <v>65</v>
      </c>
      <c r="R288" t="s">
        <v>58</v>
      </c>
      <c r="S288" t="s">
        <v>81</v>
      </c>
      <c r="T288" t="s">
        <v>107</v>
      </c>
      <c r="U288" t="s">
        <v>92</v>
      </c>
      <c r="V288" t="b">
        <v>1</v>
      </c>
      <c r="W288">
        <v>0</v>
      </c>
      <c r="X288">
        <v>0</v>
      </c>
      <c r="Y288" t="s">
        <v>14</v>
      </c>
    </row>
    <row r="289" spans="1:25">
      <c r="A289" t="s">
        <v>395</v>
      </c>
      <c r="B289" t="s">
        <v>395</v>
      </c>
      <c r="C289" t="s">
        <v>92</v>
      </c>
      <c r="D289" t="s">
        <v>93</v>
      </c>
      <c r="E289" s="3">
        <v>45897</v>
      </c>
      <c r="F289">
        <v>224.63</v>
      </c>
      <c r="G289" t="s">
        <v>56</v>
      </c>
      <c r="H289" t="s">
        <v>57</v>
      </c>
      <c r="I289" t="s">
        <v>97</v>
      </c>
      <c r="K289" t="s">
        <v>107</v>
      </c>
      <c r="L289" t="s">
        <v>94</v>
      </c>
      <c r="M289" t="s">
        <v>95</v>
      </c>
      <c r="N289" s="3">
        <v>45897</v>
      </c>
      <c r="O289">
        <v>224.63</v>
      </c>
      <c r="P289" t="s">
        <v>56</v>
      </c>
      <c r="Q289" t="s">
        <v>57</v>
      </c>
      <c r="R289" t="s">
        <v>97</v>
      </c>
      <c r="T289" t="s">
        <v>107</v>
      </c>
      <c r="U289" t="s">
        <v>92</v>
      </c>
      <c r="V289" t="b">
        <v>1</v>
      </c>
      <c r="W289">
        <v>0</v>
      </c>
      <c r="X289">
        <v>0</v>
      </c>
      <c r="Y289" t="s">
        <v>14</v>
      </c>
    </row>
    <row r="290" spans="1:25">
      <c r="A290" t="s">
        <v>396</v>
      </c>
      <c r="B290" t="s">
        <v>396</v>
      </c>
      <c r="C290" t="s">
        <v>71</v>
      </c>
      <c r="D290" t="s">
        <v>72</v>
      </c>
      <c r="E290" s="3">
        <v>45906</v>
      </c>
      <c r="F290">
        <v>-164.66</v>
      </c>
      <c r="G290" t="s">
        <v>56</v>
      </c>
      <c r="H290" t="s">
        <v>57</v>
      </c>
      <c r="I290" t="s">
        <v>103</v>
      </c>
      <c r="L290" t="s">
        <v>74</v>
      </c>
      <c r="M290" t="s">
        <v>75</v>
      </c>
      <c r="N290" s="3">
        <v>45906</v>
      </c>
      <c r="O290">
        <v>-164.66</v>
      </c>
      <c r="P290" t="s">
        <v>56</v>
      </c>
      <c r="Q290" t="s">
        <v>57</v>
      </c>
      <c r="R290" t="s">
        <v>103</v>
      </c>
      <c r="U290" t="s">
        <v>71</v>
      </c>
      <c r="V290" t="b">
        <v>1</v>
      </c>
      <c r="W290">
        <v>0</v>
      </c>
      <c r="X290">
        <v>0</v>
      </c>
      <c r="Y290" t="s">
        <v>14</v>
      </c>
    </row>
    <row r="291" spans="1:25">
      <c r="A291" t="s">
        <v>397</v>
      </c>
      <c r="B291" t="s">
        <v>397</v>
      </c>
      <c r="C291" t="s">
        <v>150</v>
      </c>
      <c r="D291" t="s">
        <v>151</v>
      </c>
      <c r="E291" s="3">
        <v>45907</v>
      </c>
      <c r="F291">
        <v>-721.43</v>
      </c>
      <c r="G291" t="s">
        <v>56</v>
      </c>
      <c r="H291" t="s">
        <v>80</v>
      </c>
      <c r="I291" t="s">
        <v>103</v>
      </c>
      <c r="J291" t="s">
        <v>81</v>
      </c>
      <c r="K291" t="s">
        <v>67</v>
      </c>
      <c r="L291" t="s">
        <v>152</v>
      </c>
      <c r="M291" t="s">
        <v>153</v>
      </c>
      <c r="N291" s="3">
        <v>45907</v>
      </c>
      <c r="O291">
        <v>-721.43</v>
      </c>
      <c r="P291" t="s">
        <v>56</v>
      </c>
      <c r="Q291" t="s">
        <v>80</v>
      </c>
      <c r="R291" t="s">
        <v>103</v>
      </c>
      <c r="S291" t="s">
        <v>81</v>
      </c>
      <c r="T291" t="s">
        <v>67</v>
      </c>
      <c r="U291" t="s">
        <v>150</v>
      </c>
      <c r="V291" t="b">
        <v>1</v>
      </c>
      <c r="W291">
        <v>0</v>
      </c>
      <c r="X291">
        <v>0</v>
      </c>
      <c r="Y291" t="s">
        <v>14</v>
      </c>
    </row>
    <row r="292" spans="1:25">
      <c r="A292" t="s">
        <v>398</v>
      </c>
      <c r="B292" t="s">
        <v>398</v>
      </c>
      <c r="C292" t="s">
        <v>63</v>
      </c>
      <c r="D292" t="s">
        <v>64</v>
      </c>
      <c r="E292" s="3">
        <v>45877</v>
      </c>
      <c r="F292">
        <v>-623.04</v>
      </c>
      <c r="G292" t="s">
        <v>56</v>
      </c>
      <c r="H292" t="s">
        <v>57</v>
      </c>
      <c r="I292" t="s">
        <v>77</v>
      </c>
      <c r="J292" t="s">
        <v>85</v>
      </c>
      <c r="K292" t="s">
        <v>59</v>
      </c>
      <c r="L292" t="s">
        <v>82</v>
      </c>
      <c r="M292" t="s">
        <v>83</v>
      </c>
      <c r="N292" s="3">
        <v>45877</v>
      </c>
      <c r="O292">
        <v>-623.04</v>
      </c>
      <c r="P292" t="s">
        <v>56</v>
      </c>
      <c r="Q292" t="s">
        <v>57</v>
      </c>
      <c r="R292" t="s">
        <v>77</v>
      </c>
      <c r="S292" t="s">
        <v>85</v>
      </c>
      <c r="T292" t="s">
        <v>59</v>
      </c>
      <c r="U292" t="s">
        <v>63</v>
      </c>
      <c r="V292" t="b">
        <v>1</v>
      </c>
      <c r="W292">
        <v>0</v>
      </c>
      <c r="X292">
        <v>0</v>
      </c>
      <c r="Y292" t="s">
        <v>14</v>
      </c>
    </row>
    <row r="293" spans="1:25">
      <c r="A293" t="s">
        <v>399</v>
      </c>
      <c r="B293" t="s">
        <v>399</v>
      </c>
      <c r="C293" t="s">
        <v>63</v>
      </c>
      <c r="D293" t="s">
        <v>64</v>
      </c>
      <c r="E293" s="3">
        <v>45909</v>
      </c>
      <c r="F293">
        <v>-492.37</v>
      </c>
      <c r="G293" t="s">
        <v>56</v>
      </c>
      <c r="H293" t="s">
        <v>73</v>
      </c>
      <c r="I293" t="s">
        <v>77</v>
      </c>
      <c r="J293" t="s">
        <v>117</v>
      </c>
      <c r="K293" t="s">
        <v>107</v>
      </c>
      <c r="L293" t="s">
        <v>82</v>
      </c>
      <c r="M293" t="s">
        <v>83</v>
      </c>
      <c r="N293" s="3">
        <v>45909</v>
      </c>
      <c r="O293">
        <v>-492.37</v>
      </c>
      <c r="P293" t="s">
        <v>56</v>
      </c>
      <c r="Q293" t="s">
        <v>73</v>
      </c>
      <c r="R293" t="s">
        <v>77</v>
      </c>
      <c r="S293" t="s">
        <v>117</v>
      </c>
      <c r="T293" t="s">
        <v>107</v>
      </c>
      <c r="U293" t="s">
        <v>63</v>
      </c>
      <c r="V293" t="b">
        <v>1</v>
      </c>
      <c r="W293">
        <v>0</v>
      </c>
      <c r="X293">
        <v>0</v>
      </c>
      <c r="Y293" t="s">
        <v>14</v>
      </c>
    </row>
    <row r="294" spans="1:25">
      <c r="A294" t="s">
        <v>400</v>
      </c>
      <c r="B294" t="s">
        <v>400</v>
      </c>
      <c r="C294" t="s">
        <v>63</v>
      </c>
      <c r="D294" t="s">
        <v>64</v>
      </c>
      <c r="E294" s="3">
        <v>45900</v>
      </c>
      <c r="F294">
        <v>-820.52</v>
      </c>
      <c r="G294" t="s">
        <v>56</v>
      </c>
      <c r="H294" t="s">
        <v>65</v>
      </c>
      <c r="I294" t="s">
        <v>77</v>
      </c>
      <c r="K294" t="s">
        <v>67</v>
      </c>
      <c r="L294" t="s">
        <v>82</v>
      </c>
      <c r="M294" t="s">
        <v>83</v>
      </c>
      <c r="N294" s="3">
        <v>45900</v>
      </c>
      <c r="O294">
        <v>-820.52</v>
      </c>
      <c r="P294" t="s">
        <v>56</v>
      </c>
      <c r="Q294" t="s">
        <v>65</v>
      </c>
      <c r="R294" t="s">
        <v>77</v>
      </c>
      <c r="T294" t="s">
        <v>67</v>
      </c>
      <c r="U294" t="s">
        <v>63</v>
      </c>
      <c r="V294" t="b">
        <v>1</v>
      </c>
      <c r="W294">
        <v>0</v>
      </c>
      <c r="X294">
        <v>0</v>
      </c>
      <c r="Y294" t="s">
        <v>14</v>
      </c>
    </row>
    <row r="295" spans="1:25">
      <c r="A295" t="s">
        <v>401</v>
      </c>
      <c r="B295" t="s">
        <v>401</v>
      </c>
      <c r="C295" t="s">
        <v>92</v>
      </c>
      <c r="D295" t="s">
        <v>93</v>
      </c>
      <c r="E295" s="3">
        <v>45863</v>
      </c>
      <c r="F295">
        <v>-262.2</v>
      </c>
      <c r="G295" t="s">
        <v>56</v>
      </c>
      <c r="H295" t="s">
        <v>73</v>
      </c>
      <c r="I295" t="s">
        <v>97</v>
      </c>
      <c r="J295" t="s">
        <v>81</v>
      </c>
      <c r="K295" t="s">
        <v>105</v>
      </c>
      <c r="L295" t="s">
        <v>125</v>
      </c>
      <c r="M295" t="s">
        <v>126</v>
      </c>
      <c r="N295" s="3">
        <v>45866</v>
      </c>
      <c r="O295">
        <v>-254.48</v>
      </c>
      <c r="P295" t="s">
        <v>56</v>
      </c>
      <c r="Q295" t="s">
        <v>73</v>
      </c>
      <c r="R295" t="s">
        <v>97</v>
      </c>
      <c r="S295" t="s">
        <v>81</v>
      </c>
      <c r="T295" t="s">
        <v>105</v>
      </c>
      <c r="U295" t="s">
        <v>92</v>
      </c>
      <c r="V295" t="b">
        <v>1</v>
      </c>
      <c r="W295">
        <v>-7.72</v>
      </c>
      <c r="X295">
        <v>-3</v>
      </c>
      <c r="Y295" t="s">
        <v>17</v>
      </c>
    </row>
    <row r="296" spans="1:25">
      <c r="A296" t="s">
        <v>402</v>
      </c>
      <c r="B296" t="s">
        <v>402</v>
      </c>
      <c r="C296" t="s">
        <v>63</v>
      </c>
      <c r="D296" t="s">
        <v>64</v>
      </c>
      <c r="E296" s="3">
        <v>45884</v>
      </c>
      <c r="F296">
        <v>-394.93</v>
      </c>
      <c r="G296" t="s">
        <v>56</v>
      </c>
      <c r="H296" t="s">
        <v>57</v>
      </c>
      <c r="I296" t="s">
        <v>58</v>
      </c>
      <c r="J296" t="s">
        <v>81</v>
      </c>
      <c r="L296" t="s">
        <v>82</v>
      </c>
      <c r="M296" t="s">
        <v>83</v>
      </c>
      <c r="N296" s="3">
        <v>45882</v>
      </c>
      <c r="O296">
        <v>-387.63</v>
      </c>
      <c r="P296" t="s">
        <v>56</v>
      </c>
      <c r="Q296" t="s">
        <v>57</v>
      </c>
      <c r="R296" t="s">
        <v>58</v>
      </c>
      <c r="S296" t="s">
        <v>81</v>
      </c>
      <c r="U296" t="s">
        <v>63</v>
      </c>
      <c r="V296" t="b">
        <v>1</v>
      </c>
      <c r="W296">
        <v>-7.3</v>
      </c>
      <c r="X296">
        <v>2</v>
      </c>
      <c r="Y296" t="s">
        <v>17</v>
      </c>
    </row>
    <row r="297" spans="1:25">
      <c r="A297" t="s">
        <v>403</v>
      </c>
      <c r="B297" t="s">
        <v>403</v>
      </c>
      <c r="C297" t="s">
        <v>63</v>
      </c>
      <c r="D297" t="s">
        <v>64</v>
      </c>
      <c r="E297" s="3">
        <v>45865</v>
      </c>
      <c r="F297">
        <v>756.59</v>
      </c>
      <c r="G297" t="s">
        <v>56</v>
      </c>
      <c r="H297" t="s">
        <v>80</v>
      </c>
      <c r="I297" t="s">
        <v>97</v>
      </c>
      <c r="J297" t="s">
        <v>117</v>
      </c>
      <c r="K297" t="s">
        <v>105</v>
      </c>
      <c r="L297" t="s">
        <v>68</v>
      </c>
      <c r="M297" t="s">
        <v>69</v>
      </c>
      <c r="N297" s="3">
        <v>45865</v>
      </c>
      <c r="O297">
        <v>756.59</v>
      </c>
      <c r="P297" t="s">
        <v>56</v>
      </c>
      <c r="Q297" t="s">
        <v>80</v>
      </c>
      <c r="R297" t="s">
        <v>97</v>
      </c>
      <c r="S297" t="s">
        <v>117</v>
      </c>
      <c r="T297" t="s">
        <v>105</v>
      </c>
      <c r="U297" t="s">
        <v>63</v>
      </c>
      <c r="V297" t="b">
        <v>1</v>
      </c>
      <c r="W297">
        <v>0</v>
      </c>
      <c r="X297">
        <v>0</v>
      </c>
      <c r="Y297" t="s">
        <v>14</v>
      </c>
    </row>
    <row r="298" spans="1:25">
      <c r="A298" t="s">
        <v>404</v>
      </c>
      <c r="B298" t="s">
        <v>404</v>
      </c>
      <c r="C298" t="s">
        <v>150</v>
      </c>
      <c r="D298" t="s">
        <v>151</v>
      </c>
      <c r="E298" s="3">
        <v>45916</v>
      </c>
      <c r="F298">
        <v>-959.45</v>
      </c>
      <c r="G298" t="s">
        <v>56</v>
      </c>
      <c r="H298" t="s">
        <v>65</v>
      </c>
      <c r="I298" t="s">
        <v>58</v>
      </c>
      <c r="J298" t="s">
        <v>99</v>
      </c>
      <c r="K298" t="s">
        <v>105</v>
      </c>
      <c r="L298" t="s">
        <v>152</v>
      </c>
      <c r="M298" t="s">
        <v>153</v>
      </c>
      <c r="N298" s="3">
        <v>45916</v>
      </c>
      <c r="O298">
        <v>-959.45</v>
      </c>
      <c r="P298" t="s">
        <v>56</v>
      </c>
      <c r="Q298" t="s">
        <v>65</v>
      </c>
      <c r="R298" t="s">
        <v>58</v>
      </c>
      <c r="S298" t="s">
        <v>99</v>
      </c>
      <c r="T298" t="s">
        <v>105</v>
      </c>
      <c r="U298" t="s">
        <v>150</v>
      </c>
      <c r="V298" t="b">
        <v>1</v>
      </c>
      <c r="W298">
        <v>0</v>
      </c>
      <c r="X298">
        <v>0</v>
      </c>
      <c r="Y298" t="s">
        <v>14</v>
      </c>
    </row>
    <row r="299" spans="1:25">
      <c r="A299" t="s">
        <v>405</v>
      </c>
      <c r="B299" t="s">
        <v>405</v>
      </c>
      <c r="C299" t="s">
        <v>92</v>
      </c>
      <c r="D299" t="s">
        <v>93</v>
      </c>
      <c r="E299" s="3">
        <v>45902</v>
      </c>
      <c r="F299">
        <v>502.11</v>
      </c>
      <c r="G299" t="s">
        <v>56</v>
      </c>
      <c r="H299" t="s">
        <v>80</v>
      </c>
      <c r="I299" t="s">
        <v>58</v>
      </c>
      <c r="J299" t="s">
        <v>109</v>
      </c>
      <c r="K299" t="s">
        <v>107</v>
      </c>
      <c r="L299" t="s">
        <v>125</v>
      </c>
      <c r="M299" t="s">
        <v>126</v>
      </c>
      <c r="N299" s="3">
        <v>45902</v>
      </c>
      <c r="O299">
        <v>502.11</v>
      </c>
      <c r="P299" t="s">
        <v>56</v>
      </c>
      <c r="Q299" t="s">
        <v>80</v>
      </c>
      <c r="R299" t="s">
        <v>58</v>
      </c>
      <c r="S299" t="s">
        <v>109</v>
      </c>
      <c r="T299" t="s">
        <v>107</v>
      </c>
      <c r="U299" t="s">
        <v>92</v>
      </c>
      <c r="V299" t="b">
        <v>1</v>
      </c>
      <c r="W299">
        <v>0</v>
      </c>
      <c r="X299">
        <v>0</v>
      </c>
      <c r="Y299" t="s">
        <v>14</v>
      </c>
    </row>
    <row r="300" spans="1:25">
      <c r="A300" t="s">
        <v>406</v>
      </c>
      <c r="B300" t="s">
        <v>406</v>
      </c>
      <c r="C300" t="s">
        <v>63</v>
      </c>
      <c r="D300" t="s">
        <v>64</v>
      </c>
      <c r="E300" s="3">
        <v>45860</v>
      </c>
      <c r="F300">
        <v>-919.88</v>
      </c>
      <c r="G300" t="s">
        <v>56</v>
      </c>
      <c r="H300" t="s">
        <v>57</v>
      </c>
      <c r="I300" t="s">
        <v>77</v>
      </c>
      <c r="J300" t="s">
        <v>99</v>
      </c>
      <c r="K300" t="s">
        <v>138</v>
      </c>
      <c r="L300" t="s">
        <v>82</v>
      </c>
      <c r="M300" t="s">
        <v>83</v>
      </c>
      <c r="N300" s="3">
        <v>45860</v>
      </c>
      <c r="O300">
        <v>-919.88</v>
      </c>
      <c r="P300" t="s">
        <v>56</v>
      </c>
      <c r="Q300" t="s">
        <v>57</v>
      </c>
      <c r="R300" t="s">
        <v>77</v>
      </c>
      <c r="S300" t="s">
        <v>99</v>
      </c>
      <c r="T300" t="s">
        <v>138</v>
      </c>
      <c r="U300" t="s">
        <v>63</v>
      </c>
      <c r="V300" t="b">
        <v>1</v>
      </c>
      <c r="W300">
        <v>0</v>
      </c>
      <c r="X300">
        <v>0</v>
      </c>
      <c r="Y300" t="s">
        <v>14</v>
      </c>
    </row>
    <row r="301" spans="1:25">
      <c r="A301" t="s">
        <v>407</v>
      </c>
      <c r="B301" t="s">
        <v>407</v>
      </c>
      <c r="C301" t="s">
        <v>119</v>
      </c>
      <c r="D301" t="s">
        <v>120</v>
      </c>
      <c r="E301" s="3">
        <v>45867</v>
      </c>
      <c r="F301">
        <v>349.37</v>
      </c>
      <c r="G301" t="s">
        <v>56</v>
      </c>
      <c r="H301" t="s">
        <v>73</v>
      </c>
      <c r="I301" t="s">
        <v>58</v>
      </c>
      <c r="J301" t="s">
        <v>99</v>
      </c>
      <c r="K301" t="s">
        <v>138</v>
      </c>
      <c r="L301" t="s">
        <v>121</v>
      </c>
      <c r="M301" t="s">
        <v>122</v>
      </c>
      <c r="N301" s="3">
        <v>45867</v>
      </c>
      <c r="O301">
        <v>349.37</v>
      </c>
      <c r="P301" t="s">
        <v>56</v>
      </c>
      <c r="Q301" t="s">
        <v>73</v>
      </c>
      <c r="R301" t="s">
        <v>58</v>
      </c>
      <c r="S301" t="s">
        <v>99</v>
      </c>
      <c r="T301" t="s">
        <v>138</v>
      </c>
      <c r="U301" t="s">
        <v>119</v>
      </c>
      <c r="V301" t="b">
        <v>1</v>
      </c>
      <c r="W301">
        <v>0</v>
      </c>
      <c r="X301">
        <v>0</v>
      </c>
      <c r="Y301" t="s">
        <v>14</v>
      </c>
    </row>
  </sheetData>
  <conditionalFormatting sqref="A2:Y301">
    <cfRule type="expression" dxfId="5" priority="1">
      <formula>$Y2="EXACT_MATCH"</formula>
    </cfRule>
    <cfRule type="expression" dxfId="4" priority="2">
      <formula>$Y2="NEAR_MATCH"</formula>
    </cfRule>
    <cfRule type="expression" dxfId="3" priority="3">
      <formula>$Y2="MAPPING_ISSUE"</formula>
    </cfRule>
    <cfRule type="expression" dxfId="2" priority="4">
      <formula>$Y2="MISMATCH"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8.7109375" customWidth="1"/>
    <col min="5" max="5" width="13.7109375" customWidth="1"/>
    <col min="6" max="8" width="11.7109375" customWidth="1"/>
    <col min="9" max="9" width="14.7109375" customWidth="1"/>
    <col min="10" max="10" width="15.7109375" customWidth="1"/>
    <col min="11" max="11" width="11.7109375" customWidth="1"/>
    <col min="12" max="12" width="15.7109375" customWidth="1"/>
    <col min="13" max="13" width="20.7109375" customWidth="1"/>
    <col min="14" max="17" width="11.7109375" customWidth="1"/>
    <col min="18" max="18" width="14.7109375" customWidth="1"/>
    <col min="19" max="19" width="15.7109375" customWidth="1"/>
    <col min="20" max="20" width="12.7109375" customWidth="1"/>
    <col min="21" max="21" width="18.7109375" customWidth="1"/>
    <col min="22" max="22" width="11.7109375" customWidth="1"/>
    <col min="23" max="23" width="12.7109375" customWidth="1"/>
    <col min="24" max="24" width="11.7109375" customWidth="1"/>
    <col min="25" max="25" width="12.7109375" customWidth="1"/>
  </cols>
  <sheetData>
    <row r="1" spans="1: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27</v>
      </c>
    </row>
    <row r="2" spans="1:25">
      <c r="A2" t="s">
        <v>408</v>
      </c>
      <c r="C2" t="s">
        <v>409</v>
      </c>
      <c r="D2" t="s">
        <v>410</v>
      </c>
      <c r="E2" s="3">
        <v>45915</v>
      </c>
      <c r="F2">
        <v>600.89</v>
      </c>
      <c r="G2" t="s">
        <v>56</v>
      </c>
      <c r="H2" t="s">
        <v>80</v>
      </c>
      <c r="I2" t="s">
        <v>103</v>
      </c>
      <c r="J2" t="s">
        <v>81</v>
      </c>
      <c r="K2" t="s">
        <v>411</v>
      </c>
      <c r="V2" t="b">
        <v>0</v>
      </c>
      <c r="Y2" t="s">
        <v>18</v>
      </c>
    </row>
    <row r="3" spans="1:25">
      <c r="A3" t="s">
        <v>412</v>
      </c>
      <c r="C3" t="s">
        <v>54</v>
      </c>
      <c r="D3" t="s">
        <v>55</v>
      </c>
      <c r="E3" s="3">
        <v>45892</v>
      </c>
      <c r="F3">
        <v>539.84</v>
      </c>
      <c r="G3" t="s">
        <v>56</v>
      </c>
      <c r="H3" t="s">
        <v>73</v>
      </c>
      <c r="I3" t="s">
        <v>103</v>
      </c>
      <c r="J3" t="s">
        <v>85</v>
      </c>
      <c r="K3" t="s">
        <v>413</v>
      </c>
      <c r="V3" t="b">
        <v>0</v>
      </c>
      <c r="Y3" t="s">
        <v>18</v>
      </c>
    </row>
    <row r="4" spans="1:25">
      <c r="A4" t="s">
        <v>414</v>
      </c>
      <c r="C4" t="s">
        <v>119</v>
      </c>
      <c r="D4" t="s">
        <v>120</v>
      </c>
      <c r="E4" s="3">
        <v>45891</v>
      </c>
      <c r="F4">
        <v>-278.74</v>
      </c>
      <c r="G4" t="s">
        <v>56</v>
      </c>
      <c r="H4" t="s">
        <v>73</v>
      </c>
      <c r="I4" t="s">
        <v>58</v>
      </c>
      <c r="J4" t="s">
        <v>99</v>
      </c>
      <c r="K4" t="s">
        <v>415</v>
      </c>
      <c r="V4" t="b">
        <v>0</v>
      </c>
      <c r="Y4" t="s">
        <v>18</v>
      </c>
    </row>
    <row r="5" spans="1:25">
      <c r="A5" t="s">
        <v>416</v>
      </c>
      <c r="C5" t="s">
        <v>409</v>
      </c>
      <c r="D5" t="s">
        <v>410</v>
      </c>
      <c r="E5" s="3">
        <v>45860</v>
      </c>
      <c r="F5">
        <v>98.2</v>
      </c>
      <c r="G5" t="s">
        <v>56</v>
      </c>
      <c r="H5" t="s">
        <v>65</v>
      </c>
      <c r="I5" t="s">
        <v>58</v>
      </c>
      <c r="J5" t="s">
        <v>85</v>
      </c>
      <c r="K5" t="s">
        <v>413</v>
      </c>
      <c r="V5" t="b">
        <v>0</v>
      </c>
      <c r="Y5" t="s">
        <v>18</v>
      </c>
    </row>
    <row r="6" spans="1:25">
      <c r="A6" t="s">
        <v>417</v>
      </c>
      <c r="C6" t="s">
        <v>119</v>
      </c>
      <c r="D6" t="s">
        <v>120</v>
      </c>
      <c r="E6" s="3">
        <v>45871</v>
      </c>
      <c r="F6">
        <v>509.6</v>
      </c>
      <c r="G6" t="s">
        <v>56</v>
      </c>
      <c r="H6" t="s">
        <v>65</v>
      </c>
      <c r="I6" t="s">
        <v>77</v>
      </c>
      <c r="J6" t="s">
        <v>99</v>
      </c>
      <c r="K6" t="s">
        <v>411</v>
      </c>
      <c r="V6" t="b">
        <v>0</v>
      </c>
      <c r="Y6" t="s">
        <v>18</v>
      </c>
    </row>
    <row r="7" spans="1:25">
      <c r="A7" t="s">
        <v>418</v>
      </c>
      <c r="C7" t="s">
        <v>409</v>
      </c>
      <c r="D7" t="s">
        <v>410</v>
      </c>
      <c r="E7" s="3">
        <v>45907</v>
      </c>
      <c r="F7">
        <v>885.62</v>
      </c>
      <c r="G7" t="s">
        <v>56</v>
      </c>
      <c r="H7" t="s">
        <v>65</v>
      </c>
      <c r="I7" t="s">
        <v>77</v>
      </c>
      <c r="K7" t="s">
        <v>415</v>
      </c>
      <c r="V7" t="b">
        <v>0</v>
      </c>
      <c r="Y7" t="s">
        <v>18</v>
      </c>
    </row>
    <row r="8" spans="1:25">
      <c r="A8" t="s">
        <v>419</v>
      </c>
      <c r="C8" t="s">
        <v>71</v>
      </c>
      <c r="D8" t="s">
        <v>72</v>
      </c>
      <c r="E8" s="3">
        <v>45911</v>
      </c>
      <c r="F8">
        <v>485</v>
      </c>
      <c r="G8" t="s">
        <v>56</v>
      </c>
      <c r="H8" t="s">
        <v>57</v>
      </c>
      <c r="I8" t="s">
        <v>77</v>
      </c>
      <c r="K8" t="s">
        <v>413</v>
      </c>
      <c r="V8" t="b">
        <v>0</v>
      </c>
      <c r="Y8" t="s">
        <v>18</v>
      </c>
    </row>
    <row r="9" spans="1:25">
      <c r="A9" t="s">
        <v>420</v>
      </c>
      <c r="C9" t="s">
        <v>87</v>
      </c>
      <c r="D9" t="s">
        <v>88</v>
      </c>
      <c r="E9" s="3">
        <v>45857</v>
      </c>
      <c r="F9">
        <v>142.07</v>
      </c>
      <c r="G9" t="s">
        <v>56</v>
      </c>
      <c r="H9" t="s">
        <v>73</v>
      </c>
      <c r="I9" t="s">
        <v>77</v>
      </c>
      <c r="J9" t="s">
        <v>117</v>
      </c>
      <c r="K9" t="s">
        <v>413</v>
      </c>
      <c r="V9" t="b">
        <v>0</v>
      </c>
      <c r="Y9" t="s">
        <v>18</v>
      </c>
    </row>
    <row r="10" spans="1:25">
      <c r="A10" t="s">
        <v>421</v>
      </c>
      <c r="C10" t="s">
        <v>422</v>
      </c>
      <c r="D10" t="s">
        <v>423</v>
      </c>
      <c r="E10" s="3">
        <v>45871</v>
      </c>
      <c r="F10">
        <v>-534.73</v>
      </c>
      <c r="G10" t="s">
        <v>56</v>
      </c>
      <c r="H10" t="s">
        <v>80</v>
      </c>
      <c r="I10" t="s">
        <v>103</v>
      </c>
      <c r="K10" t="s">
        <v>411</v>
      </c>
      <c r="V10" t="b">
        <v>0</v>
      </c>
      <c r="Y10" t="s">
        <v>18</v>
      </c>
    </row>
    <row r="11" spans="1:25">
      <c r="A11" t="s">
        <v>424</v>
      </c>
      <c r="C11" t="s">
        <v>409</v>
      </c>
      <c r="D11" t="s">
        <v>410</v>
      </c>
      <c r="E11" s="3">
        <v>45893</v>
      </c>
      <c r="F11">
        <v>834.33</v>
      </c>
      <c r="G11" t="s">
        <v>56</v>
      </c>
      <c r="H11" t="s">
        <v>80</v>
      </c>
      <c r="I11" t="s">
        <v>103</v>
      </c>
      <c r="J11" t="s">
        <v>85</v>
      </c>
      <c r="K11" t="s">
        <v>411</v>
      </c>
      <c r="V11" t="b">
        <v>0</v>
      </c>
      <c r="Y11" t="s">
        <v>18</v>
      </c>
    </row>
    <row r="12" spans="1:25">
      <c r="A12" t="s">
        <v>425</v>
      </c>
      <c r="C12" t="s">
        <v>63</v>
      </c>
      <c r="D12" t="s">
        <v>64</v>
      </c>
      <c r="E12" s="3">
        <v>45895</v>
      </c>
      <c r="F12">
        <v>670.81</v>
      </c>
      <c r="G12" t="s">
        <v>56</v>
      </c>
      <c r="H12" t="s">
        <v>73</v>
      </c>
      <c r="I12" t="s">
        <v>58</v>
      </c>
      <c r="J12" t="s">
        <v>109</v>
      </c>
      <c r="K12" t="s">
        <v>415</v>
      </c>
      <c r="V12" t="b">
        <v>0</v>
      </c>
      <c r="Y12" t="s">
        <v>18</v>
      </c>
    </row>
    <row r="13" spans="1:25">
      <c r="A13" t="s">
        <v>426</v>
      </c>
      <c r="C13" t="s">
        <v>54</v>
      </c>
      <c r="D13" t="s">
        <v>55</v>
      </c>
      <c r="E13" s="3">
        <v>45883</v>
      </c>
      <c r="F13">
        <v>748.39</v>
      </c>
      <c r="G13" t="s">
        <v>56</v>
      </c>
      <c r="H13" t="s">
        <v>73</v>
      </c>
      <c r="I13" t="s">
        <v>103</v>
      </c>
      <c r="J13" t="s">
        <v>109</v>
      </c>
      <c r="K13" t="s">
        <v>411</v>
      </c>
      <c r="V13" t="b">
        <v>0</v>
      </c>
      <c r="Y13" t="s">
        <v>18</v>
      </c>
    </row>
    <row r="14" spans="1:25">
      <c r="A14" t="s">
        <v>427</v>
      </c>
      <c r="C14" t="s">
        <v>119</v>
      </c>
      <c r="D14" t="s">
        <v>120</v>
      </c>
      <c r="E14" s="3">
        <v>45868</v>
      </c>
      <c r="F14">
        <v>-292.49</v>
      </c>
      <c r="G14" t="s">
        <v>56</v>
      </c>
      <c r="H14" t="s">
        <v>80</v>
      </c>
      <c r="I14" t="s">
        <v>103</v>
      </c>
      <c r="K14" t="s">
        <v>411</v>
      </c>
      <c r="V14" t="b">
        <v>0</v>
      </c>
      <c r="Y14" t="s">
        <v>18</v>
      </c>
    </row>
    <row r="15" spans="1:25">
      <c r="A15" t="s">
        <v>428</v>
      </c>
      <c r="C15" t="s">
        <v>71</v>
      </c>
      <c r="D15" t="s">
        <v>72</v>
      </c>
      <c r="E15" s="3">
        <v>45868</v>
      </c>
      <c r="F15">
        <v>-467.15</v>
      </c>
      <c r="G15" t="s">
        <v>56</v>
      </c>
      <c r="H15" t="s">
        <v>57</v>
      </c>
      <c r="I15" t="s">
        <v>103</v>
      </c>
      <c r="J15" t="s">
        <v>85</v>
      </c>
      <c r="K15" t="s">
        <v>411</v>
      </c>
      <c r="V15" t="b">
        <v>0</v>
      </c>
      <c r="Y15" t="s">
        <v>18</v>
      </c>
    </row>
    <row r="16" spans="1:25">
      <c r="A16" t="s">
        <v>429</v>
      </c>
      <c r="C16" t="s">
        <v>409</v>
      </c>
      <c r="D16" t="s">
        <v>410</v>
      </c>
      <c r="E16" s="3">
        <v>45882</v>
      </c>
      <c r="F16">
        <v>407.17</v>
      </c>
      <c r="G16" t="s">
        <v>56</v>
      </c>
      <c r="H16" t="s">
        <v>57</v>
      </c>
      <c r="I16" t="s">
        <v>58</v>
      </c>
      <c r="J16" t="s">
        <v>81</v>
      </c>
      <c r="K16" t="s">
        <v>415</v>
      </c>
      <c r="V16" t="b">
        <v>0</v>
      </c>
      <c r="Y16" t="s">
        <v>18</v>
      </c>
    </row>
    <row r="17" spans="1:25">
      <c r="A17" t="s">
        <v>430</v>
      </c>
      <c r="C17" t="s">
        <v>71</v>
      </c>
      <c r="D17" t="s">
        <v>72</v>
      </c>
      <c r="E17" s="3">
        <v>45895</v>
      </c>
      <c r="F17">
        <v>-622.07000000000005</v>
      </c>
      <c r="G17" t="s">
        <v>56</v>
      </c>
      <c r="H17" t="s">
        <v>65</v>
      </c>
      <c r="I17" t="s">
        <v>58</v>
      </c>
      <c r="J17" t="s">
        <v>66</v>
      </c>
      <c r="K17" t="s">
        <v>415</v>
      </c>
      <c r="V17" t="b">
        <v>0</v>
      </c>
      <c r="Y17" t="s">
        <v>18</v>
      </c>
    </row>
    <row r="18" spans="1:25">
      <c r="A18" t="s">
        <v>431</v>
      </c>
      <c r="C18" t="s">
        <v>63</v>
      </c>
      <c r="D18" t="s">
        <v>64</v>
      </c>
      <c r="E18" s="3">
        <v>45898</v>
      </c>
      <c r="F18">
        <v>-333.82</v>
      </c>
      <c r="G18" t="s">
        <v>56</v>
      </c>
      <c r="H18" t="s">
        <v>80</v>
      </c>
      <c r="I18" t="s">
        <v>97</v>
      </c>
      <c r="J18" t="s">
        <v>109</v>
      </c>
      <c r="K18" t="s">
        <v>415</v>
      </c>
      <c r="V18" t="b">
        <v>0</v>
      </c>
      <c r="Y18" t="s">
        <v>18</v>
      </c>
    </row>
    <row r="19" spans="1:25">
      <c r="A19" t="s">
        <v>432</v>
      </c>
      <c r="C19" t="s">
        <v>87</v>
      </c>
      <c r="D19" t="s">
        <v>88</v>
      </c>
      <c r="E19" s="3">
        <v>45869</v>
      </c>
      <c r="F19">
        <v>573.70000000000005</v>
      </c>
      <c r="G19" t="s">
        <v>56</v>
      </c>
      <c r="H19" t="s">
        <v>73</v>
      </c>
      <c r="I19" t="s">
        <v>58</v>
      </c>
      <c r="J19" t="s">
        <v>66</v>
      </c>
      <c r="K19" t="s">
        <v>415</v>
      </c>
      <c r="V19" t="b">
        <v>0</v>
      </c>
      <c r="Y19" t="s">
        <v>18</v>
      </c>
    </row>
    <row r="20" spans="1:25">
      <c r="A20" t="s">
        <v>433</v>
      </c>
      <c r="C20" t="s">
        <v>54</v>
      </c>
      <c r="D20" t="s">
        <v>55</v>
      </c>
      <c r="E20" s="3">
        <v>45871</v>
      </c>
      <c r="F20">
        <v>-221.21</v>
      </c>
      <c r="G20" t="s">
        <v>56</v>
      </c>
      <c r="H20" t="s">
        <v>65</v>
      </c>
      <c r="I20" t="s">
        <v>103</v>
      </c>
      <c r="J20" t="s">
        <v>66</v>
      </c>
      <c r="K20" t="s">
        <v>413</v>
      </c>
      <c r="V20" t="b">
        <v>0</v>
      </c>
      <c r="Y20" t="s">
        <v>18</v>
      </c>
    </row>
    <row r="21" spans="1:25">
      <c r="A21" t="s">
        <v>434</v>
      </c>
      <c r="C21" t="s">
        <v>422</v>
      </c>
      <c r="D21" t="s">
        <v>423</v>
      </c>
      <c r="E21" s="3">
        <v>45871</v>
      </c>
      <c r="F21">
        <v>132.9</v>
      </c>
      <c r="G21" t="s">
        <v>56</v>
      </c>
      <c r="H21" t="s">
        <v>73</v>
      </c>
      <c r="I21" t="s">
        <v>77</v>
      </c>
      <c r="J21" t="s">
        <v>66</v>
      </c>
      <c r="K21" t="s">
        <v>415</v>
      </c>
      <c r="V21" t="b">
        <v>0</v>
      </c>
      <c r="Y21" t="s">
        <v>18</v>
      </c>
    </row>
    <row r="22" spans="1:25">
      <c r="A22" t="s">
        <v>435</v>
      </c>
      <c r="C22" t="s">
        <v>71</v>
      </c>
      <c r="D22" t="s">
        <v>72</v>
      </c>
      <c r="E22" s="3">
        <v>45892</v>
      </c>
      <c r="F22">
        <v>-329.41</v>
      </c>
      <c r="G22" t="s">
        <v>56</v>
      </c>
      <c r="H22" t="s">
        <v>80</v>
      </c>
      <c r="I22" t="s">
        <v>77</v>
      </c>
      <c r="J22" t="s">
        <v>99</v>
      </c>
      <c r="K22" t="s">
        <v>413</v>
      </c>
      <c r="V22" t="b">
        <v>0</v>
      </c>
      <c r="Y22" t="s">
        <v>18</v>
      </c>
    </row>
    <row r="23" spans="1:25">
      <c r="A23" t="s">
        <v>436</v>
      </c>
      <c r="C23" t="s">
        <v>92</v>
      </c>
      <c r="D23" t="s">
        <v>93</v>
      </c>
      <c r="E23" s="3">
        <v>45875</v>
      </c>
      <c r="F23">
        <v>-320.72000000000003</v>
      </c>
      <c r="G23" t="s">
        <v>56</v>
      </c>
      <c r="H23" t="s">
        <v>73</v>
      </c>
      <c r="I23" t="s">
        <v>58</v>
      </c>
      <c r="J23" t="s">
        <v>99</v>
      </c>
      <c r="K23" t="s">
        <v>411</v>
      </c>
      <c r="V23" t="b">
        <v>0</v>
      </c>
      <c r="Y23" t="s">
        <v>18</v>
      </c>
    </row>
    <row r="24" spans="1:25">
      <c r="A24" t="s">
        <v>437</v>
      </c>
      <c r="C24" t="s">
        <v>409</v>
      </c>
      <c r="D24" t="s">
        <v>410</v>
      </c>
      <c r="E24" s="3">
        <v>45891</v>
      </c>
      <c r="F24">
        <v>472.79</v>
      </c>
      <c r="G24" t="s">
        <v>56</v>
      </c>
      <c r="H24" t="s">
        <v>65</v>
      </c>
      <c r="I24" t="s">
        <v>77</v>
      </c>
      <c r="J24" t="s">
        <v>117</v>
      </c>
      <c r="K24" t="s">
        <v>415</v>
      </c>
      <c r="V24" t="b">
        <v>0</v>
      </c>
      <c r="Y24" t="s">
        <v>18</v>
      </c>
    </row>
    <row r="25" spans="1:25">
      <c r="A25" t="s">
        <v>438</v>
      </c>
      <c r="C25" t="s">
        <v>409</v>
      </c>
      <c r="D25" t="s">
        <v>410</v>
      </c>
      <c r="E25" s="3">
        <v>45917</v>
      </c>
      <c r="F25">
        <v>619.95000000000005</v>
      </c>
      <c r="G25" t="s">
        <v>56</v>
      </c>
      <c r="H25" t="s">
        <v>65</v>
      </c>
      <c r="I25" t="s">
        <v>97</v>
      </c>
      <c r="K25" t="s">
        <v>413</v>
      </c>
      <c r="V25" t="b">
        <v>0</v>
      </c>
      <c r="Y25" t="s">
        <v>18</v>
      </c>
    </row>
    <row r="26" spans="1:25">
      <c r="A26" t="s">
        <v>439</v>
      </c>
      <c r="C26" t="s">
        <v>119</v>
      </c>
      <c r="D26" t="s">
        <v>120</v>
      </c>
      <c r="E26" s="3">
        <v>45872</v>
      </c>
      <c r="F26">
        <v>642.49</v>
      </c>
      <c r="G26" t="s">
        <v>56</v>
      </c>
      <c r="H26" t="s">
        <v>65</v>
      </c>
      <c r="I26" t="s">
        <v>97</v>
      </c>
      <c r="K26" t="s">
        <v>415</v>
      </c>
      <c r="V26" t="b">
        <v>0</v>
      </c>
      <c r="Y26" t="s">
        <v>18</v>
      </c>
    </row>
    <row r="27" spans="1:25">
      <c r="A27" t="s">
        <v>440</v>
      </c>
      <c r="C27" t="s">
        <v>409</v>
      </c>
      <c r="D27" t="s">
        <v>410</v>
      </c>
      <c r="E27" s="3">
        <v>45857</v>
      </c>
      <c r="F27">
        <v>-578.41</v>
      </c>
      <c r="G27" t="s">
        <v>56</v>
      </c>
      <c r="H27" t="s">
        <v>57</v>
      </c>
      <c r="I27" t="s">
        <v>97</v>
      </c>
      <c r="K27" t="s">
        <v>415</v>
      </c>
      <c r="V27" t="b">
        <v>0</v>
      </c>
      <c r="Y27" t="s">
        <v>18</v>
      </c>
    </row>
    <row r="28" spans="1:25">
      <c r="A28" t="s">
        <v>441</v>
      </c>
      <c r="C28" t="s">
        <v>119</v>
      </c>
      <c r="D28" t="s">
        <v>120</v>
      </c>
      <c r="E28" s="3">
        <v>45905</v>
      </c>
      <c r="F28">
        <v>-393.29</v>
      </c>
      <c r="G28" t="s">
        <v>56</v>
      </c>
      <c r="H28" t="s">
        <v>57</v>
      </c>
      <c r="I28" t="s">
        <v>103</v>
      </c>
      <c r="J28" t="s">
        <v>66</v>
      </c>
      <c r="K28" t="s">
        <v>415</v>
      </c>
      <c r="V28" t="b">
        <v>0</v>
      </c>
      <c r="Y28" t="s">
        <v>18</v>
      </c>
    </row>
    <row r="29" spans="1:25">
      <c r="A29" t="s">
        <v>442</v>
      </c>
      <c r="C29" t="s">
        <v>92</v>
      </c>
      <c r="D29" t="s">
        <v>93</v>
      </c>
      <c r="E29" s="3">
        <v>45906</v>
      </c>
      <c r="F29">
        <v>1045.49</v>
      </c>
      <c r="G29" t="s">
        <v>56</v>
      </c>
      <c r="H29" t="s">
        <v>65</v>
      </c>
      <c r="I29" t="s">
        <v>103</v>
      </c>
      <c r="J29" t="s">
        <v>81</v>
      </c>
      <c r="K29" t="s">
        <v>415</v>
      </c>
      <c r="V29" t="b">
        <v>0</v>
      </c>
      <c r="Y29" t="s">
        <v>18</v>
      </c>
    </row>
    <row r="30" spans="1:25">
      <c r="A30" t="s">
        <v>443</v>
      </c>
      <c r="C30" t="s">
        <v>54</v>
      </c>
      <c r="D30" t="s">
        <v>55</v>
      </c>
      <c r="E30" s="3">
        <v>45911</v>
      </c>
      <c r="F30">
        <v>633.61</v>
      </c>
      <c r="G30" t="s">
        <v>56</v>
      </c>
      <c r="H30" t="s">
        <v>57</v>
      </c>
      <c r="I30" t="s">
        <v>97</v>
      </c>
      <c r="J30" t="s">
        <v>99</v>
      </c>
      <c r="K30" t="s">
        <v>415</v>
      </c>
      <c r="V30" t="b">
        <v>0</v>
      </c>
      <c r="Y30" t="s">
        <v>18</v>
      </c>
    </row>
    <row r="31" spans="1:25">
      <c r="A31" t="s">
        <v>444</v>
      </c>
      <c r="C31" t="s">
        <v>422</v>
      </c>
      <c r="D31" t="s">
        <v>423</v>
      </c>
      <c r="E31" s="3">
        <v>45867</v>
      </c>
      <c r="F31">
        <v>696.21</v>
      </c>
      <c r="G31" t="s">
        <v>56</v>
      </c>
      <c r="H31" t="s">
        <v>80</v>
      </c>
      <c r="I31" t="s">
        <v>97</v>
      </c>
      <c r="J31" t="s">
        <v>117</v>
      </c>
      <c r="K31" t="s">
        <v>411</v>
      </c>
      <c r="V31" t="b">
        <v>0</v>
      </c>
      <c r="Y31" t="s">
        <v>18</v>
      </c>
    </row>
    <row r="32" spans="1:25">
      <c r="A32" t="s">
        <v>445</v>
      </c>
      <c r="C32" t="s">
        <v>119</v>
      </c>
      <c r="D32" t="s">
        <v>120</v>
      </c>
      <c r="E32" s="3">
        <v>45873</v>
      </c>
      <c r="F32">
        <v>765.03</v>
      </c>
      <c r="G32" t="s">
        <v>56</v>
      </c>
      <c r="H32" t="s">
        <v>80</v>
      </c>
      <c r="I32" t="s">
        <v>58</v>
      </c>
      <c r="J32" t="s">
        <v>66</v>
      </c>
      <c r="K32" t="s">
        <v>411</v>
      </c>
      <c r="V32" t="b">
        <v>0</v>
      </c>
      <c r="Y32" t="s">
        <v>18</v>
      </c>
    </row>
    <row r="33" spans="1:25">
      <c r="A33" t="s">
        <v>446</v>
      </c>
      <c r="C33" t="s">
        <v>63</v>
      </c>
      <c r="D33" t="s">
        <v>64</v>
      </c>
      <c r="E33" s="3">
        <v>45907</v>
      </c>
      <c r="F33">
        <v>-349.73</v>
      </c>
      <c r="G33" t="s">
        <v>56</v>
      </c>
      <c r="H33" t="s">
        <v>80</v>
      </c>
      <c r="I33" t="s">
        <v>58</v>
      </c>
      <c r="J33" t="s">
        <v>117</v>
      </c>
      <c r="K33" t="s">
        <v>411</v>
      </c>
      <c r="V33" t="b">
        <v>0</v>
      </c>
      <c r="Y33" t="s">
        <v>18</v>
      </c>
    </row>
    <row r="34" spans="1:25">
      <c r="A34" t="s">
        <v>447</v>
      </c>
      <c r="C34" t="s">
        <v>87</v>
      </c>
      <c r="D34" t="s">
        <v>88</v>
      </c>
      <c r="E34" s="3">
        <v>45917</v>
      </c>
      <c r="F34">
        <v>473</v>
      </c>
      <c r="G34" t="s">
        <v>56</v>
      </c>
      <c r="H34" t="s">
        <v>73</v>
      </c>
      <c r="I34" t="s">
        <v>103</v>
      </c>
      <c r="J34" t="s">
        <v>109</v>
      </c>
      <c r="K34" t="s">
        <v>411</v>
      </c>
      <c r="V34" t="b">
        <v>0</v>
      </c>
      <c r="Y34" t="s">
        <v>18</v>
      </c>
    </row>
    <row r="35" spans="1:25">
      <c r="A35" t="s">
        <v>448</v>
      </c>
      <c r="C35" t="s">
        <v>92</v>
      </c>
      <c r="D35" t="s">
        <v>93</v>
      </c>
      <c r="E35" s="3">
        <v>45905</v>
      </c>
      <c r="F35">
        <v>-339.76</v>
      </c>
      <c r="G35" t="s">
        <v>56</v>
      </c>
      <c r="H35" t="s">
        <v>80</v>
      </c>
      <c r="I35" t="s">
        <v>97</v>
      </c>
      <c r="J35" t="s">
        <v>85</v>
      </c>
      <c r="K35" t="s">
        <v>415</v>
      </c>
      <c r="V35" t="b">
        <v>0</v>
      </c>
      <c r="Y35" t="s">
        <v>18</v>
      </c>
    </row>
    <row r="36" spans="1:25">
      <c r="A36" t="s">
        <v>449</v>
      </c>
      <c r="C36" t="s">
        <v>71</v>
      </c>
      <c r="D36" t="s">
        <v>72</v>
      </c>
      <c r="E36" s="3">
        <v>45862</v>
      </c>
      <c r="F36">
        <v>-975.48</v>
      </c>
      <c r="G36" t="s">
        <v>56</v>
      </c>
      <c r="H36" t="s">
        <v>80</v>
      </c>
      <c r="I36" t="s">
        <v>97</v>
      </c>
      <c r="J36" t="s">
        <v>81</v>
      </c>
      <c r="K36" t="s">
        <v>411</v>
      </c>
      <c r="V36" t="b">
        <v>0</v>
      </c>
      <c r="Y36" t="s">
        <v>18</v>
      </c>
    </row>
    <row r="37" spans="1:25">
      <c r="A37" t="s">
        <v>450</v>
      </c>
      <c r="C37" t="s">
        <v>451</v>
      </c>
      <c r="D37" t="s">
        <v>452</v>
      </c>
      <c r="E37" s="3">
        <v>45916</v>
      </c>
      <c r="F37">
        <v>422.39</v>
      </c>
      <c r="G37" t="s">
        <v>56</v>
      </c>
      <c r="H37" t="s">
        <v>80</v>
      </c>
      <c r="I37" t="s">
        <v>97</v>
      </c>
      <c r="J37" t="s">
        <v>109</v>
      </c>
      <c r="K37" t="s">
        <v>415</v>
      </c>
      <c r="V37" t="b">
        <v>0</v>
      </c>
      <c r="Y37" t="s">
        <v>18</v>
      </c>
    </row>
    <row r="38" spans="1:25">
      <c r="A38" t="s">
        <v>453</v>
      </c>
      <c r="C38" t="s">
        <v>451</v>
      </c>
      <c r="D38" t="s">
        <v>452</v>
      </c>
      <c r="E38" s="3">
        <v>45895</v>
      </c>
      <c r="F38">
        <v>501.18</v>
      </c>
      <c r="G38" t="s">
        <v>56</v>
      </c>
      <c r="H38" t="s">
        <v>73</v>
      </c>
      <c r="I38" t="s">
        <v>97</v>
      </c>
      <c r="J38" t="s">
        <v>66</v>
      </c>
      <c r="K38" t="s">
        <v>411</v>
      </c>
      <c r="V38" t="b">
        <v>0</v>
      </c>
      <c r="Y38" t="s">
        <v>18</v>
      </c>
    </row>
    <row r="39" spans="1:25">
      <c r="A39" t="s">
        <v>454</v>
      </c>
      <c r="C39" t="s">
        <v>409</v>
      </c>
      <c r="D39" t="s">
        <v>410</v>
      </c>
      <c r="E39" s="3">
        <v>45869</v>
      </c>
      <c r="F39">
        <v>-161.63</v>
      </c>
      <c r="G39" t="s">
        <v>56</v>
      </c>
      <c r="H39" t="s">
        <v>80</v>
      </c>
      <c r="I39" t="s">
        <v>77</v>
      </c>
      <c r="J39" t="s">
        <v>66</v>
      </c>
      <c r="K39" t="s">
        <v>415</v>
      </c>
      <c r="V39" t="b">
        <v>0</v>
      </c>
      <c r="Y39" t="s">
        <v>18</v>
      </c>
    </row>
    <row r="40" spans="1:25">
      <c r="A40" t="s">
        <v>455</v>
      </c>
      <c r="C40" t="s">
        <v>63</v>
      </c>
      <c r="D40" t="s">
        <v>64</v>
      </c>
      <c r="E40" s="3">
        <v>45857</v>
      </c>
      <c r="F40">
        <v>681.25</v>
      </c>
      <c r="G40" t="s">
        <v>56</v>
      </c>
      <c r="H40" t="s">
        <v>73</v>
      </c>
      <c r="I40" t="s">
        <v>58</v>
      </c>
      <c r="J40" t="s">
        <v>109</v>
      </c>
      <c r="K40" t="s">
        <v>411</v>
      </c>
      <c r="V40" t="b">
        <v>0</v>
      </c>
      <c r="Y40" t="s">
        <v>18</v>
      </c>
    </row>
    <row r="41" spans="1:25">
      <c r="A41" t="s">
        <v>456</v>
      </c>
      <c r="C41" t="s">
        <v>54</v>
      </c>
      <c r="D41" t="s">
        <v>55</v>
      </c>
      <c r="E41" s="3">
        <v>45907</v>
      </c>
      <c r="F41">
        <v>524.16999999999996</v>
      </c>
      <c r="G41" t="s">
        <v>56</v>
      </c>
      <c r="H41" t="s">
        <v>57</v>
      </c>
      <c r="I41" t="s">
        <v>103</v>
      </c>
      <c r="J41" t="s">
        <v>66</v>
      </c>
      <c r="K41" t="s">
        <v>411</v>
      </c>
      <c r="V41" t="b">
        <v>0</v>
      </c>
      <c r="Y41" t="s">
        <v>18</v>
      </c>
    </row>
  </sheetData>
  <conditionalFormatting sqref="A2:Y41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6.7109375" customWidth="1"/>
    <col min="5" max="5" width="13.7109375" customWidth="1"/>
    <col min="6" max="8" width="11.7109375" customWidth="1"/>
    <col min="9" max="9" width="14.7109375" customWidth="1"/>
    <col min="10" max="10" width="15.7109375" customWidth="1"/>
    <col min="11" max="11" width="11.7109375" customWidth="1"/>
    <col min="12" max="12" width="15.7109375" customWidth="1"/>
    <col min="13" max="13" width="20.7109375" customWidth="1"/>
    <col min="14" max="17" width="11.7109375" customWidth="1"/>
    <col min="18" max="18" width="14.7109375" customWidth="1"/>
    <col min="19" max="19" width="15.7109375" customWidth="1"/>
    <col min="20" max="20" width="13.7109375" customWidth="1"/>
    <col min="21" max="21" width="18.7109375" customWidth="1"/>
    <col min="22" max="22" width="11.7109375" customWidth="1"/>
    <col min="23" max="23" width="12.7109375" customWidth="1"/>
    <col min="24" max="24" width="11.7109375" customWidth="1"/>
    <col min="25" max="25" width="12.7109375" customWidth="1"/>
  </cols>
  <sheetData>
    <row r="1" spans="1: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27</v>
      </c>
    </row>
    <row r="2" spans="1:25">
      <c r="B2" t="s">
        <v>457</v>
      </c>
      <c r="L2" t="s">
        <v>68</v>
      </c>
      <c r="M2" t="s">
        <v>69</v>
      </c>
      <c r="N2" s="3">
        <v>45904</v>
      </c>
      <c r="O2">
        <v>468.33</v>
      </c>
      <c r="P2" t="s">
        <v>56</v>
      </c>
      <c r="Q2" t="s">
        <v>73</v>
      </c>
      <c r="R2" t="s">
        <v>97</v>
      </c>
      <c r="S2" t="s">
        <v>109</v>
      </c>
      <c r="T2" t="s">
        <v>458</v>
      </c>
      <c r="U2" t="s">
        <v>63</v>
      </c>
      <c r="V2" t="b">
        <v>0</v>
      </c>
      <c r="Y2" t="s">
        <v>19</v>
      </c>
    </row>
    <row r="3" spans="1:25">
      <c r="B3" t="s">
        <v>459</v>
      </c>
      <c r="L3" t="s">
        <v>94</v>
      </c>
      <c r="M3" t="s">
        <v>95</v>
      </c>
      <c r="N3" s="3">
        <v>45909</v>
      </c>
      <c r="O3">
        <v>-696.95</v>
      </c>
      <c r="P3" t="s">
        <v>56</v>
      </c>
      <c r="Q3" t="s">
        <v>65</v>
      </c>
      <c r="R3" t="s">
        <v>103</v>
      </c>
      <c r="S3" t="s">
        <v>81</v>
      </c>
      <c r="T3" t="s">
        <v>460</v>
      </c>
      <c r="U3" t="s">
        <v>92</v>
      </c>
      <c r="V3" t="b">
        <v>0</v>
      </c>
      <c r="Y3" t="s">
        <v>19</v>
      </c>
    </row>
    <row r="4" spans="1:25">
      <c r="B4" t="s">
        <v>461</v>
      </c>
      <c r="L4" t="s">
        <v>89</v>
      </c>
      <c r="M4" t="s">
        <v>90</v>
      </c>
      <c r="N4" s="3">
        <v>45877</v>
      </c>
      <c r="O4">
        <v>428.21</v>
      </c>
      <c r="P4" t="s">
        <v>56</v>
      </c>
      <c r="Q4" t="s">
        <v>73</v>
      </c>
      <c r="R4" t="s">
        <v>103</v>
      </c>
      <c r="S4" t="s">
        <v>99</v>
      </c>
      <c r="T4" t="s">
        <v>460</v>
      </c>
      <c r="U4" t="s">
        <v>87</v>
      </c>
      <c r="V4" t="b">
        <v>0</v>
      </c>
      <c r="Y4" t="s">
        <v>19</v>
      </c>
    </row>
    <row r="5" spans="1:25">
      <c r="B5" t="s">
        <v>462</v>
      </c>
      <c r="L5" t="s">
        <v>94</v>
      </c>
      <c r="M5" t="s">
        <v>95</v>
      </c>
      <c r="N5" s="3">
        <v>45899</v>
      </c>
      <c r="O5">
        <v>-743.22</v>
      </c>
      <c r="P5" t="s">
        <v>56</v>
      </c>
      <c r="Q5" t="s">
        <v>73</v>
      </c>
      <c r="R5" t="s">
        <v>77</v>
      </c>
      <c r="S5" t="s">
        <v>99</v>
      </c>
      <c r="T5" t="s">
        <v>463</v>
      </c>
      <c r="U5" t="s">
        <v>92</v>
      </c>
      <c r="V5" t="b">
        <v>0</v>
      </c>
      <c r="Y5" t="s">
        <v>19</v>
      </c>
    </row>
    <row r="6" spans="1:25">
      <c r="B6" t="s">
        <v>464</v>
      </c>
      <c r="L6" t="s">
        <v>60</v>
      </c>
      <c r="M6" t="s">
        <v>61</v>
      </c>
      <c r="N6" s="3">
        <v>45865</v>
      </c>
      <c r="O6">
        <v>622.46</v>
      </c>
      <c r="P6" t="s">
        <v>56</v>
      </c>
      <c r="Q6" t="s">
        <v>80</v>
      </c>
      <c r="R6" t="s">
        <v>58</v>
      </c>
      <c r="S6" t="s">
        <v>109</v>
      </c>
      <c r="T6" t="s">
        <v>458</v>
      </c>
      <c r="U6" t="s">
        <v>54</v>
      </c>
      <c r="V6" t="b">
        <v>0</v>
      </c>
      <c r="Y6" t="s">
        <v>19</v>
      </c>
    </row>
    <row r="7" spans="1:25">
      <c r="B7" t="s">
        <v>465</v>
      </c>
      <c r="L7" t="s">
        <v>82</v>
      </c>
      <c r="M7" t="s">
        <v>83</v>
      </c>
      <c r="N7" s="3">
        <v>45883</v>
      </c>
      <c r="O7">
        <v>769.89</v>
      </c>
      <c r="P7" t="s">
        <v>56</v>
      </c>
      <c r="Q7" t="s">
        <v>57</v>
      </c>
      <c r="R7" t="s">
        <v>77</v>
      </c>
      <c r="S7" t="s">
        <v>117</v>
      </c>
      <c r="T7" t="s">
        <v>460</v>
      </c>
      <c r="U7" t="s">
        <v>63</v>
      </c>
      <c r="V7" t="b">
        <v>0</v>
      </c>
      <c r="Y7" t="s">
        <v>19</v>
      </c>
    </row>
    <row r="8" spans="1:25">
      <c r="B8" t="s">
        <v>466</v>
      </c>
      <c r="L8" t="s">
        <v>94</v>
      </c>
      <c r="M8" t="s">
        <v>95</v>
      </c>
      <c r="N8" s="3">
        <v>45875</v>
      </c>
      <c r="O8">
        <v>696.92</v>
      </c>
      <c r="P8" t="s">
        <v>56</v>
      </c>
      <c r="Q8" t="s">
        <v>80</v>
      </c>
      <c r="R8" t="s">
        <v>103</v>
      </c>
      <c r="S8" t="s">
        <v>117</v>
      </c>
      <c r="T8" t="s">
        <v>458</v>
      </c>
      <c r="U8" t="s">
        <v>92</v>
      </c>
      <c r="V8" t="b">
        <v>0</v>
      </c>
      <c r="Y8" t="s">
        <v>19</v>
      </c>
    </row>
    <row r="9" spans="1:25">
      <c r="B9" t="s">
        <v>467</v>
      </c>
      <c r="L9" t="s">
        <v>152</v>
      </c>
      <c r="M9" t="s">
        <v>153</v>
      </c>
      <c r="N9" s="3">
        <v>45891</v>
      </c>
      <c r="O9">
        <v>-608.48</v>
      </c>
      <c r="P9" t="s">
        <v>56</v>
      </c>
      <c r="Q9" t="s">
        <v>65</v>
      </c>
      <c r="R9" t="s">
        <v>77</v>
      </c>
      <c r="S9" t="s">
        <v>85</v>
      </c>
      <c r="T9" t="s">
        <v>458</v>
      </c>
      <c r="U9" t="s">
        <v>150</v>
      </c>
      <c r="V9" t="b">
        <v>0</v>
      </c>
      <c r="Y9" t="s">
        <v>19</v>
      </c>
    </row>
    <row r="10" spans="1:25">
      <c r="B10" t="s">
        <v>468</v>
      </c>
      <c r="L10" t="s">
        <v>89</v>
      </c>
      <c r="M10" t="s">
        <v>90</v>
      </c>
      <c r="N10" s="3">
        <v>45877</v>
      </c>
      <c r="O10">
        <v>-95.43</v>
      </c>
      <c r="P10" t="s">
        <v>56</v>
      </c>
      <c r="Q10" t="s">
        <v>73</v>
      </c>
      <c r="R10" t="s">
        <v>58</v>
      </c>
      <c r="S10" t="s">
        <v>66</v>
      </c>
      <c r="T10" t="s">
        <v>463</v>
      </c>
      <c r="U10" t="s">
        <v>87</v>
      </c>
      <c r="V10" t="b">
        <v>0</v>
      </c>
      <c r="Y10" t="s">
        <v>19</v>
      </c>
    </row>
    <row r="11" spans="1:25">
      <c r="B11" t="s">
        <v>469</v>
      </c>
      <c r="L11" t="s">
        <v>74</v>
      </c>
      <c r="M11" t="s">
        <v>75</v>
      </c>
      <c r="N11" s="3">
        <v>45890</v>
      </c>
      <c r="O11">
        <v>323.98</v>
      </c>
      <c r="P11" t="s">
        <v>56</v>
      </c>
      <c r="Q11" t="s">
        <v>73</v>
      </c>
      <c r="R11" t="s">
        <v>77</v>
      </c>
      <c r="S11" t="s">
        <v>117</v>
      </c>
      <c r="T11" t="s">
        <v>470</v>
      </c>
      <c r="U11" t="s">
        <v>71</v>
      </c>
      <c r="V11" t="b">
        <v>0</v>
      </c>
      <c r="Y11" t="s">
        <v>19</v>
      </c>
    </row>
    <row r="12" spans="1:25">
      <c r="B12" t="s">
        <v>471</v>
      </c>
      <c r="L12" t="s">
        <v>125</v>
      </c>
      <c r="M12" t="s">
        <v>126</v>
      </c>
      <c r="N12" s="3">
        <v>45871</v>
      </c>
      <c r="O12">
        <v>-395.02</v>
      </c>
      <c r="P12" t="s">
        <v>56</v>
      </c>
      <c r="Q12" t="s">
        <v>80</v>
      </c>
      <c r="R12" t="s">
        <v>77</v>
      </c>
      <c r="S12" t="s">
        <v>109</v>
      </c>
      <c r="T12" t="s">
        <v>460</v>
      </c>
      <c r="U12" t="s">
        <v>92</v>
      </c>
      <c r="V12" t="b">
        <v>0</v>
      </c>
      <c r="Y12" t="s">
        <v>19</v>
      </c>
    </row>
    <row r="13" spans="1:25">
      <c r="B13" t="s">
        <v>472</v>
      </c>
      <c r="L13" t="s">
        <v>68</v>
      </c>
      <c r="M13" t="s">
        <v>69</v>
      </c>
      <c r="N13" s="3">
        <v>45867</v>
      </c>
      <c r="O13">
        <v>-828.07</v>
      </c>
      <c r="P13" t="s">
        <v>56</v>
      </c>
      <c r="Q13" t="s">
        <v>80</v>
      </c>
      <c r="R13" t="s">
        <v>58</v>
      </c>
      <c r="T13" t="s">
        <v>470</v>
      </c>
      <c r="U13" t="s">
        <v>63</v>
      </c>
      <c r="V13" t="b">
        <v>0</v>
      </c>
      <c r="Y13" t="s">
        <v>19</v>
      </c>
    </row>
    <row r="14" spans="1:25">
      <c r="B14" t="s">
        <v>473</v>
      </c>
      <c r="L14" t="s">
        <v>74</v>
      </c>
      <c r="M14" t="s">
        <v>75</v>
      </c>
      <c r="N14" s="3">
        <v>45897</v>
      </c>
      <c r="O14">
        <v>-117.4</v>
      </c>
      <c r="P14" t="s">
        <v>56</v>
      </c>
      <c r="Q14" t="s">
        <v>80</v>
      </c>
      <c r="R14" t="s">
        <v>97</v>
      </c>
      <c r="S14" t="s">
        <v>85</v>
      </c>
      <c r="T14" t="s">
        <v>460</v>
      </c>
      <c r="U14" t="s">
        <v>71</v>
      </c>
      <c r="V14" t="b">
        <v>0</v>
      </c>
      <c r="Y14" t="s">
        <v>19</v>
      </c>
    </row>
    <row r="15" spans="1:25">
      <c r="B15" t="s">
        <v>474</v>
      </c>
      <c r="L15" t="s">
        <v>82</v>
      </c>
      <c r="M15" t="s">
        <v>83</v>
      </c>
      <c r="N15" s="3">
        <v>45901</v>
      </c>
      <c r="O15">
        <v>712.23</v>
      </c>
      <c r="P15" t="s">
        <v>56</v>
      </c>
      <c r="Q15" t="s">
        <v>57</v>
      </c>
      <c r="R15" t="s">
        <v>103</v>
      </c>
      <c r="S15" t="s">
        <v>109</v>
      </c>
      <c r="T15" t="s">
        <v>463</v>
      </c>
      <c r="U15" t="s">
        <v>63</v>
      </c>
      <c r="V15" t="b">
        <v>0</v>
      </c>
      <c r="Y15" t="s">
        <v>19</v>
      </c>
    </row>
    <row r="16" spans="1:25">
      <c r="B16" t="s">
        <v>475</v>
      </c>
      <c r="L16" t="s">
        <v>94</v>
      </c>
      <c r="M16" t="s">
        <v>95</v>
      </c>
      <c r="N16" s="3">
        <v>45906</v>
      </c>
      <c r="O16">
        <v>346.62</v>
      </c>
      <c r="P16" t="s">
        <v>56</v>
      </c>
      <c r="Q16" t="s">
        <v>80</v>
      </c>
      <c r="R16" t="s">
        <v>97</v>
      </c>
      <c r="S16" t="s">
        <v>85</v>
      </c>
      <c r="T16" t="s">
        <v>460</v>
      </c>
      <c r="U16" t="s">
        <v>92</v>
      </c>
      <c r="V16" t="b">
        <v>0</v>
      </c>
      <c r="Y16" t="s">
        <v>19</v>
      </c>
    </row>
    <row r="17" spans="2:25">
      <c r="B17" t="s">
        <v>476</v>
      </c>
      <c r="L17" t="s">
        <v>68</v>
      </c>
      <c r="M17" t="s">
        <v>69</v>
      </c>
      <c r="N17" s="3">
        <v>45867</v>
      </c>
      <c r="O17">
        <v>-190.38</v>
      </c>
      <c r="P17" t="s">
        <v>56</v>
      </c>
      <c r="Q17" t="s">
        <v>73</v>
      </c>
      <c r="R17" t="s">
        <v>77</v>
      </c>
      <c r="S17" t="s">
        <v>85</v>
      </c>
      <c r="T17" t="s">
        <v>458</v>
      </c>
      <c r="U17" t="s">
        <v>63</v>
      </c>
      <c r="V17" t="b">
        <v>0</v>
      </c>
      <c r="Y17" t="s">
        <v>19</v>
      </c>
    </row>
    <row r="18" spans="2:25">
      <c r="B18" t="s">
        <v>477</v>
      </c>
      <c r="L18" t="s">
        <v>60</v>
      </c>
      <c r="M18" t="s">
        <v>61</v>
      </c>
      <c r="N18" s="3">
        <v>45874</v>
      </c>
      <c r="O18">
        <v>-154.05000000000001</v>
      </c>
      <c r="P18" t="s">
        <v>56</v>
      </c>
      <c r="Q18" t="s">
        <v>80</v>
      </c>
      <c r="R18" t="s">
        <v>58</v>
      </c>
      <c r="T18" t="s">
        <v>463</v>
      </c>
      <c r="U18" t="s">
        <v>54</v>
      </c>
      <c r="V18" t="b">
        <v>0</v>
      </c>
      <c r="Y18" t="s">
        <v>19</v>
      </c>
    </row>
    <row r="19" spans="2:25">
      <c r="B19" t="s">
        <v>478</v>
      </c>
      <c r="L19" t="s">
        <v>74</v>
      </c>
      <c r="M19" t="s">
        <v>75</v>
      </c>
      <c r="N19" s="3">
        <v>45894</v>
      </c>
      <c r="O19">
        <v>315.94</v>
      </c>
      <c r="P19" t="s">
        <v>56</v>
      </c>
      <c r="Q19" t="s">
        <v>57</v>
      </c>
      <c r="R19" t="s">
        <v>77</v>
      </c>
      <c r="S19" t="s">
        <v>66</v>
      </c>
      <c r="T19" t="s">
        <v>460</v>
      </c>
      <c r="U19" t="s">
        <v>71</v>
      </c>
      <c r="V19" t="b">
        <v>0</v>
      </c>
      <c r="Y19" t="s">
        <v>19</v>
      </c>
    </row>
    <row r="20" spans="2:25">
      <c r="B20" t="s">
        <v>479</v>
      </c>
      <c r="L20" t="s">
        <v>100</v>
      </c>
      <c r="M20" t="s">
        <v>101</v>
      </c>
      <c r="N20" s="3">
        <v>45883</v>
      </c>
      <c r="O20">
        <v>411.54</v>
      </c>
      <c r="P20" t="s">
        <v>56</v>
      </c>
      <c r="Q20" t="s">
        <v>73</v>
      </c>
      <c r="R20" t="s">
        <v>58</v>
      </c>
      <c r="S20" t="s">
        <v>81</v>
      </c>
      <c r="T20" t="s">
        <v>458</v>
      </c>
      <c r="U20" t="s">
        <v>87</v>
      </c>
      <c r="V20" t="b">
        <v>0</v>
      </c>
      <c r="Y20" t="s">
        <v>19</v>
      </c>
    </row>
    <row r="21" spans="2:25">
      <c r="B21" t="s">
        <v>480</v>
      </c>
      <c r="L21" t="s">
        <v>68</v>
      </c>
      <c r="M21" t="s">
        <v>69</v>
      </c>
      <c r="N21" s="3">
        <v>45868</v>
      </c>
      <c r="O21">
        <v>-496.72</v>
      </c>
      <c r="P21" t="s">
        <v>56</v>
      </c>
      <c r="Q21" t="s">
        <v>73</v>
      </c>
      <c r="R21" t="s">
        <v>97</v>
      </c>
      <c r="S21" t="s">
        <v>66</v>
      </c>
      <c r="T21" t="s">
        <v>470</v>
      </c>
      <c r="U21" t="s">
        <v>63</v>
      </c>
      <c r="V21" t="b">
        <v>0</v>
      </c>
      <c r="Y21" t="s">
        <v>19</v>
      </c>
    </row>
    <row r="22" spans="2:25">
      <c r="B22" t="s">
        <v>481</v>
      </c>
      <c r="L22" t="s">
        <v>68</v>
      </c>
      <c r="M22" t="s">
        <v>69</v>
      </c>
      <c r="N22" s="3">
        <v>45864</v>
      </c>
      <c r="O22">
        <v>405.65</v>
      </c>
      <c r="P22" t="s">
        <v>56</v>
      </c>
      <c r="Q22" t="s">
        <v>80</v>
      </c>
      <c r="R22" t="s">
        <v>97</v>
      </c>
      <c r="S22" t="s">
        <v>117</v>
      </c>
      <c r="T22" t="s">
        <v>460</v>
      </c>
      <c r="U22" t="s">
        <v>63</v>
      </c>
      <c r="V22" t="b">
        <v>0</v>
      </c>
      <c r="Y22" t="s">
        <v>19</v>
      </c>
    </row>
    <row r="23" spans="2:25">
      <c r="B23" t="s">
        <v>482</v>
      </c>
      <c r="L23" t="s">
        <v>82</v>
      </c>
      <c r="M23" t="s">
        <v>83</v>
      </c>
      <c r="N23" s="3">
        <v>45878</v>
      </c>
      <c r="O23">
        <v>728.07</v>
      </c>
      <c r="P23" t="s">
        <v>56</v>
      </c>
      <c r="Q23" t="s">
        <v>65</v>
      </c>
      <c r="R23" t="s">
        <v>97</v>
      </c>
      <c r="S23" t="s">
        <v>66</v>
      </c>
      <c r="T23" t="s">
        <v>460</v>
      </c>
      <c r="U23" t="s">
        <v>63</v>
      </c>
      <c r="V23" t="b">
        <v>0</v>
      </c>
      <c r="Y23" t="s">
        <v>19</v>
      </c>
    </row>
    <row r="24" spans="2:25">
      <c r="B24" t="s">
        <v>483</v>
      </c>
      <c r="L24" t="s">
        <v>152</v>
      </c>
      <c r="M24" t="s">
        <v>153</v>
      </c>
      <c r="N24" s="3">
        <v>45880</v>
      </c>
      <c r="O24">
        <v>-631.13</v>
      </c>
      <c r="P24" t="s">
        <v>56</v>
      </c>
      <c r="Q24" t="s">
        <v>73</v>
      </c>
      <c r="R24" t="s">
        <v>77</v>
      </c>
      <c r="S24" t="s">
        <v>109</v>
      </c>
      <c r="T24" t="s">
        <v>460</v>
      </c>
      <c r="U24" t="s">
        <v>150</v>
      </c>
      <c r="V24" t="b">
        <v>0</v>
      </c>
      <c r="Y24" t="s">
        <v>19</v>
      </c>
    </row>
    <row r="25" spans="2:25">
      <c r="B25" t="s">
        <v>484</v>
      </c>
      <c r="L25" t="s">
        <v>152</v>
      </c>
      <c r="M25" t="s">
        <v>153</v>
      </c>
      <c r="N25" s="3">
        <v>45917</v>
      </c>
      <c r="O25">
        <v>298.45999999999998</v>
      </c>
      <c r="P25" t="s">
        <v>56</v>
      </c>
      <c r="Q25" t="s">
        <v>80</v>
      </c>
      <c r="R25" t="s">
        <v>77</v>
      </c>
      <c r="S25" t="s">
        <v>85</v>
      </c>
      <c r="T25" t="s">
        <v>470</v>
      </c>
      <c r="U25" t="s">
        <v>150</v>
      </c>
      <c r="V25" t="b">
        <v>0</v>
      </c>
      <c r="Y25" t="s">
        <v>19</v>
      </c>
    </row>
    <row r="26" spans="2:25">
      <c r="B26" t="s">
        <v>485</v>
      </c>
      <c r="L26" t="s">
        <v>125</v>
      </c>
      <c r="M26" t="s">
        <v>126</v>
      </c>
      <c r="N26" s="3">
        <v>45862</v>
      </c>
      <c r="O26">
        <v>587.28</v>
      </c>
      <c r="P26" t="s">
        <v>56</v>
      </c>
      <c r="Q26" t="s">
        <v>80</v>
      </c>
      <c r="R26" t="s">
        <v>77</v>
      </c>
      <c r="S26" t="s">
        <v>66</v>
      </c>
      <c r="T26" t="s">
        <v>460</v>
      </c>
      <c r="U26" t="s">
        <v>92</v>
      </c>
      <c r="V26" t="b">
        <v>0</v>
      </c>
      <c r="Y26" t="s">
        <v>19</v>
      </c>
    </row>
    <row r="27" spans="2:25">
      <c r="B27" t="s">
        <v>486</v>
      </c>
      <c r="L27" t="s">
        <v>60</v>
      </c>
      <c r="M27" t="s">
        <v>61</v>
      </c>
      <c r="N27" s="3">
        <v>45869</v>
      </c>
      <c r="O27">
        <v>400.33</v>
      </c>
      <c r="P27" t="s">
        <v>56</v>
      </c>
      <c r="Q27" t="s">
        <v>57</v>
      </c>
      <c r="R27" t="s">
        <v>58</v>
      </c>
      <c r="S27" t="s">
        <v>85</v>
      </c>
      <c r="T27" t="s">
        <v>470</v>
      </c>
      <c r="U27" t="s">
        <v>54</v>
      </c>
      <c r="V27" t="b">
        <v>0</v>
      </c>
      <c r="Y27" t="s">
        <v>19</v>
      </c>
    </row>
    <row r="28" spans="2:25">
      <c r="B28" t="s">
        <v>487</v>
      </c>
      <c r="L28" t="s">
        <v>100</v>
      </c>
      <c r="M28" t="s">
        <v>101</v>
      </c>
      <c r="N28" s="3">
        <v>45865</v>
      </c>
      <c r="O28">
        <v>696.39</v>
      </c>
      <c r="P28" t="s">
        <v>56</v>
      </c>
      <c r="Q28" t="s">
        <v>73</v>
      </c>
      <c r="R28" t="s">
        <v>103</v>
      </c>
      <c r="S28" t="s">
        <v>99</v>
      </c>
      <c r="T28" t="s">
        <v>458</v>
      </c>
      <c r="U28" t="s">
        <v>87</v>
      </c>
      <c r="V28" t="b">
        <v>0</v>
      </c>
      <c r="Y28" t="s">
        <v>19</v>
      </c>
    </row>
    <row r="29" spans="2:25">
      <c r="B29" t="s">
        <v>488</v>
      </c>
      <c r="L29" t="s">
        <v>60</v>
      </c>
      <c r="M29" t="s">
        <v>61</v>
      </c>
      <c r="N29" s="3">
        <v>45900</v>
      </c>
      <c r="O29">
        <v>292.47000000000003</v>
      </c>
      <c r="P29" t="s">
        <v>56</v>
      </c>
      <c r="Q29" t="s">
        <v>80</v>
      </c>
      <c r="R29" t="s">
        <v>77</v>
      </c>
      <c r="S29" t="s">
        <v>66</v>
      </c>
      <c r="T29" t="s">
        <v>458</v>
      </c>
      <c r="U29" t="s">
        <v>54</v>
      </c>
      <c r="V29" t="b">
        <v>0</v>
      </c>
      <c r="Y29" t="s">
        <v>19</v>
      </c>
    </row>
    <row r="30" spans="2:25">
      <c r="B30" t="s">
        <v>489</v>
      </c>
      <c r="L30" t="s">
        <v>100</v>
      </c>
      <c r="M30" t="s">
        <v>101</v>
      </c>
      <c r="N30" s="3">
        <v>45915</v>
      </c>
      <c r="O30">
        <v>408.44</v>
      </c>
      <c r="P30" t="s">
        <v>56</v>
      </c>
      <c r="Q30" t="s">
        <v>65</v>
      </c>
      <c r="R30" t="s">
        <v>58</v>
      </c>
      <c r="S30" t="s">
        <v>117</v>
      </c>
      <c r="T30" t="s">
        <v>463</v>
      </c>
      <c r="U30" t="s">
        <v>87</v>
      </c>
      <c r="V30" t="b">
        <v>0</v>
      </c>
      <c r="Y30" t="s">
        <v>19</v>
      </c>
    </row>
    <row r="31" spans="2:25">
      <c r="B31" t="s">
        <v>490</v>
      </c>
      <c r="L31" t="s">
        <v>82</v>
      </c>
      <c r="M31" t="s">
        <v>83</v>
      </c>
      <c r="N31" s="3">
        <v>45892</v>
      </c>
      <c r="O31">
        <v>-609.58000000000004</v>
      </c>
      <c r="P31" t="s">
        <v>56</v>
      </c>
      <c r="Q31" t="s">
        <v>65</v>
      </c>
      <c r="R31" t="s">
        <v>97</v>
      </c>
      <c r="S31" t="s">
        <v>85</v>
      </c>
      <c r="T31" t="s">
        <v>458</v>
      </c>
      <c r="U31" t="s">
        <v>63</v>
      </c>
      <c r="V31" t="b">
        <v>0</v>
      </c>
      <c r="Y31" t="s">
        <v>19</v>
      </c>
    </row>
    <row r="32" spans="2:25">
      <c r="B32" t="s">
        <v>491</v>
      </c>
      <c r="L32" t="s">
        <v>100</v>
      </c>
      <c r="M32" t="s">
        <v>101</v>
      </c>
      <c r="N32" s="3">
        <v>45914</v>
      </c>
      <c r="O32">
        <v>198.7</v>
      </c>
      <c r="P32" t="s">
        <v>56</v>
      </c>
      <c r="Q32" t="s">
        <v>57</v>
      </c>
      <c r="R32" t="s">
        <v>97</v>
      </c>
      <c r="S32" t="s">
        <v>109</v>
      </c>
      <c r="T32" t="s">
        <v>463</v>
      </c>
      <c r="U32" t="s">
        <v>87</v>
      </c>
      <c r="V32" t="b">
        <v>0</v>
      </c>
      <c r="Y32" t="s">
        <v>19</v>
      </c>
    </row>
    <row r="33" spans="2:25">
      <c r="B33" t="s">
        <v>492</v>
      </c>
      <c r="L33" t="s">
        <v>74</v>
      </c>
      <c r="M33" t="s">
        <v>75</v>
      </c>
      <c r="N33" s="3">
        <v>45904</v>
      </c>
      <c r="O33">
        <v>252.95</v>
      </c>
      <c r="P33" t="s">
        <v>56</v>
      </c>
      <c r="Q33" t="s">
        <v>65</v>
      </c>
      <c r="R33" t="s">
        <v>103</v>
      </c>
      <c r="S33" t="s">
        <v>85</v>
      </c>
      <c r="T33" t="s">
        <v>463</v>
      </c>
      <c r="U33" t="s">
        <v>71</v>
      </c>
      <c r="V33" t="b">
        <v>0</v>
      </c>
      <c r="Y33" t="s">
        <v>19</v>
      </c>
    </row>
    <row r="34" spans="2:25">
      <c r="B34" t="s">
        <v>493</v>
      </c>
      <c r="L34" t="s">
        <v>94</v>
      </c>
      <c r="M34" t="s">
        <v>95</v>
      </c>
      <c r="N34" s="3">
        <v>45889</v>
      </c>
      <c r="O34">
        <v>-319.02999999999997</v>
      </c>
      <c r="P34" t="s">
        <v>56</v>
      </c>
      <c r="Q34" t="s">
        <v>65</v>
      </c>
      <c r="R34" t="s">
        <v>77</v>
      </c>
      <c r="S34" t="s">
        <v>109</v>
      </c>
      <c r="T34" t="s">
        <v>460</v>
      </c>
      <c r="U34" t="s">
        <v>92</v>
      </c>
      <c r="V34" t="b">
        <v>0</v>
      </c>
      <c r="Y34" t="s">
        <v>19</v>
      </c>
    </row>
    <row r="35" spans="2:25">
      <c r="B35" t="s">
        <v>494</v>
      </c>
      <c r="L35" t="s">
        <v>89</v>
      </c>
      <c r="M35" t="s">
        <v>90</v>
      </c>
      <c r="N35" s="3">
        <v>45891</v>
      </c>
      <c r="O35">
        <v>-670.46</v>
      </c>
      <c r="P35" t="s">
        <v>56</v>
      </c>
      <c r="Q35" t="s">
        <v>57</v>
      </c>
      <c r="R35" t="s">
        <v>97</v>
      </c>
      <c r="S35" t="s">
        <v>99</v>
      </c>
      <c r="T35" t="s">
        <v>470</v>
      </c>
      <c r="U35" t="s">
        <v>87</v>
      </c>
      <c r="V35" t="b">
        <v>0</v>
      </c>
      <c r="Y35" t="s">
        <v>19</v>
      </c>
    </row>
    <row r="36" spans="2:25">
      <c r="B36" t="s">
        <v>495</v>
      </c>
      <c r="L36" t="s">
        <v>94</v>
      </c>
      <c r="M36" t="s">
        <v>95</v>
      </c>
      <c r="N36" s="3">
        <v>45899</v>
      </c>
      <c r="O36">
        <v>-205.96</v>
      </c>
      <c r="P36" t="s">
        <v>56</v>
      </c>
      <c r="Q36" t="s">
        <v>65</v>
      </c>
      <c r="R36" t="s">
        <v>58</v>
      </c>
      <c r="S36" t="s">
        <v>85</v>
      </c>
      <c r="T36" t="s">
        <v>458</v>
      </c>
      <c r="U36" t="s">
        <v>92</v>
      </c>
      <c r="V36" t="b">
        <v>0</v>
      </c>
      <c r="Y36" t="s">
        <v>19</v>
      </c>
    </row>
    <row r="37" spans="2:25">
      <c r="B37" t="s">
        <v>496</v>
      </c>
      <c r="L37" t="s">
        <v>121</v>
      </c>
      <c r="M37" t="s">
        <v>122</v>
      </c>
      <c r="N37" s="3">
        <v>45893</v>
      </c>
      <c r="O37">
        <v>-578.01</v>
      </c>
      <c r="P37" t="s">
        <v>56</v>
      </c>
      <c r="Q37" t="s">
        <v>57</v>
      </c>
      <c r="R37" t="s">
        <v>77</v>
      </c>
      <c r="T37" t="s">
        <v>460</v>
      </c>
      <c r="U37" t="s">
        <v>119</v>
      </c>
      <c r="V37" t="b">
        <v>0</v>
      </c>
      <c r="Y37" t="s">
        <v>19</v>
      </c>
    </row>
    <row r="38" spans="2:25">
      <c r="B38" t="s">
        <v>497</v>
      </c>
      <c r="L38" t="s">
        <v>100</v>
      </c>
      <c r="M38" t="s">
        <v>101</v>
      </c>
      <c r="N38" s="3">
        <v>45857</v>
      </c>
      <c r="O38">
        <v>-413.72</v>
      </c>
      <c r="P38" t="s">
        <v>56</v>
      </c>
      <c r="Q38" t="s">
        <v>65</v>
      </c>
      <c r="R38" t="s">
        <v>58</v>
      </c>
      <c r="S38" t="s">
        <v>66</v>
      </c>
      <c r="T38" t="s">
        <v>470</v>
      </c>
      <c r="U38" t="s">
        <v>87</v>
      </c>
      <c r="V38" t="b">
        <v>0</v>
      </c>
      <c r="Y38" t="s">
        <v>19</v>
      </c>
    </row>
    <row r="39" spans="2:25">
      <c r="B39" t="s">
        <v>498</v>
      </c>
      <c r="L39" t="s">
        <v>60</v>
      </c>
      <c r="M39" t="s">
        <v>61</v>
      </c>
      <c r="N39" s="3">
        <v>45885</v>
      </c>
      <c r="O39">
        <v>264.33</v>
      </c>
      <c r="P39" t="s">
        <v>56</v>
      </c>
      <c r="Q39" t="s">
        <v>80</v>
      </c>
      <c r="R39" t="s">
        <v>103</v>
      </c>
      <c r="S39" t="s">
        <v>81</v>
      </c>
      <c r="T39" t="s">
        <v>463</v>
      </c>
      <c r="U39" t="s">
        <v>54</v>
      </c>
      <c r="V39" t="b">
        <v>0</v>
      </c>
      <c r="Y39" t="s">
        <v>19</v>
      </c>
    </row>
    <row r="40" spans="2:25">
      <c r="B40" t="s">
        <v>499</v>
      </c>
      <c r="L40" t="s">
        <v>60</v>
      </c>
      <c r="M40" t="s">
        <v>61</v>
      </c>
      <c r="N40" s="3">
        <v>45904</v>
      </c>
      <c r="O40">
        <v>768.94</v>
      </c>
      <c r="P40" t="s">
        <v>56</v>
      </c>
      <c r="Q40" t="s">
        <v>57</v>
      </c>
      <c r="R40" t="s">
        <v>77</v>
      </c>
      <c r="S40" t="s">
        <v>117</v>
      </c>
      <c r="T40" t="s">
        <v>458</v>
      </c>
      <c r="U40" t="s">
        <v>54</v>
      </c>
      <c r="V40" t="b">
        <v>0</v>
      </c>
      <c r="Y40" t="s">
        <v>19</v>
      </c>
    </row>
    <row r="41" spans="2:25">
      <c r="B41" t="s">
        <v>500</v>
      </c>
      <c r="L41" t="s">
        <v>100</v>
      </c>
      <c r="M41" t="s">
        <v>101</v>
      </c>
      <c r="N41" s="3">
        <v>45897</v>
      </c>
      <c r="O41">
        <v>290.95999999999998</v>
      </c>
      <c r="P41" t="s">
        <v>56</v>
      </c>
      <c r="Q41" t="s">
        <v>80</v>
      </c>
      <c r="R41" t="s">
        <v>97</v>
      </c>
      <c r="S41" t="s">
        <v>66</v>
      </c>
      <c r="T41" t="s">
        <v>460</v>
      </c>
      <c r="U41" t="s">
        <v>87</v>
      </c>
      <c r="V41" t="b">
        <v>0</v>
      </c>
      <c r="Y41" t="s">
        <v>19</v>
      </c>
    </row>
  </sheetData>
  <conditionalFormatting sqref="A2:Y41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20.7109375" customWidth="1"/>
    <col min="5" max="5" width="13.7109375" customWidth="1"/>
    <col min="6" max="8" width="11.7109375" customWidth="1"/>
    <col min="9" max="9" width="14.7109375" customWidth="1"/>
    <col min="10" max="10" width="15.7109375" customWidth="1"/>
    <col min="11" max="11" width="19.7109375" customWidth="1"/>
    <col min="12" max="12" width="15.7109375" customWidth="1"/>
    <col min="13" max="13" width="20.7109375" customWidth="1"/>
    <col min="14" max="17" width="11.7109375" customWidth="1"/>
    <col min="18" max="18" width="14.7109375" customWidth="1"/>
    <col min="19" max="19" width="15.7109375" customWidth="1"/>
    <col min="20" max="20" width="19.7109375" customWidth="1"/>
    <col min="21" max="21" width="18.7109375" customWidth="1"/>
    <col min="22" max="22" width="11.7109375" customWidth="1"/>
    <col min="23" max="23" width="12.7109375" customWidth="1"/>
    <col min="24" max="25" width="11.7109375" customWidth="1"/>
  </cols>
  <sheetData>
    <row r="1" spans="1: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27</v>
      </c>
    </row>
    <row r="2" spans="1:25">
      <c r="A2" t="s">
        <v>53</v>
      </c>
      <c r="B2" t="s">
        <v>53</v>
      </c>
      <c r="C2" t="s">
        <v>54</v>
      </c>
      <c r="D2" t="s">
        <v>55</v>
      </c>
      <c r="E2" s="3">
        <v>45917</v>
      </c>
      <c r="F2">
        <v>-922.63</v>
      </c>
      <c r="G2" t="s">
        <v>56</v>
      </c>
      <c r="H2" t="s">
        <v>57</v>
      </c>
      <c r="I2" t="s">
        <v>58</v>
      </c>
      <c r="K2" t="s">
        <v>59</v>
      </c>
      <c r="L2" t="s">
        <v>60</v>
      </c>
      <c r="M2" t="s">
        <v>61</v>
      </c>
      <c r="N2" s="3">
        <v>45919</v>
      </c>
      <c r="O2">
        <v>-913.31</v>
      </c>
      <c r="P2" t="s">
        <v>56</v>
      </c>
      <c r="Q2" t="s">
        <v>57</v>
      </c>
      <c r="R2" t="s">
        <v>58</v>
      </c>
      <c r="T2" t="s">
        <v>59</v>
      </c>
      <c r="U2" t="s">
        <v>54</v>
      </c>
      <c r="V2" t="b">
        <v>1</v>
      </c>
      <c r="W2">
        <v>-9.32</v>
      </c>
      <c r="X2">
        <v>-2</v>
      </c>
      <c r="Y2" t="s">
        <v>17</v>
      </c>
    </row>
    <row r="3" spans="1:25">
      <c r="A3" t="s">
        <v>76</v>
      </c>
      <c r="B3" t="s">
        <v>76</v>
      </c>
      <c r="C3" t="s">
        <v>63</v>
      </c>
      <c r="D3" t="s">
        <v>64</v>
      </c>
      <c r="E3" s="3">
        <v>45917</v>
      </c>
      <c r="F3">
        <v>-601.88</v>
      </c>
      <c r="G3" t="s">
        <v>56</v>
      </c>
      <c r="H3" t="s">
        <v>57</v>
      </c>
      <c r="I3" t="s">
        <v>77</v>
      </c>
      <c r="J3" t="s">
        <v>66</v>
      </c>
      <c r="K3" t="s">
        <v>78</v>
      </c>
      <c r="L3" t="s">
        <v>68</v>
      </c>
      <c r="M3" t="s">
        <v>69</v>
      </c>
      <c r="N3" s="3">
        <v>45915</v>
      </c>
      <c r="O3">
        <v>-594.58000000000004</v>
      </c>
      <c r="P3" t="s">
        <v>56</v>
      </c>
      <c r="Q3" t="s">
        <v>57</v>
      </c>
      <c r="R3" t="s">
        <v>77</v>
      </c>
      <c r="S3" t="s">
        <v>66</v>
      </c>
      <c r="T3" t="s">
        <v>78</v>
      </c>
      <c r="U3" t="s">
        <v>63</v>
      </c>
      <c r="V3" t="b">
        <v>1</v>
      </c>
      <c r="W3">
        <v>-7.3</v>
      </c>
      <c r="X3">
        <v>2</v>
      </c>
      <c r="Y3" t="s">
        <v>17</v>
      </c>
    </row>
    <row r="4" spans="1:25">
      <c r="A4" t="s">
        <v>108</v>
      </c>
      <c r="B4" t="s">
        <v>108</v>
      </c>
      <c r="C4" t="s">
        <v>87</v>
      </c>
      <c r="D4" t="s">
        <v>88</v>
      </c>
      <c r="E4" s="3">
        <v>45887</v>
      </c>
      <c r="F4">
        <v>434.66</v>
      </c>
      <c r="G4" t="s">
        <v>56</v>
      </c>
      <c r="H4" t="s">
        <v>57</v>
      </c>
      <c r="I4" t="s">
        <v>58</v>
      </c>
      <c r="J4" t="s">
        <v>109</v>
      </c>
      <c r="K4" t="s">
        <v>105</v>
      </c>
      <c r="L4" t="s">
        <v>100</v>
      </c>
      <c r="M4" t="s">
        <v>101</v>
      </c>
      <c r="N4" s="3">
        <v>45890</v>
      </c>
      <c r="O4">
        <v>446.39</v>
      </c>
      <c r="P4" t="s">
        <v>56</v>
      </c>
      <c r="Q4" t="s">
        <v>57</v>
      </c>
      <c r="R4" t="s">
        <v>58</v>
      </c>
      <c r="S4" t="s">
        <v>109</v>
      </c>
      <c r="T4" t="s">
        <v>105</v>
      </c>
      <c r="U4" t="s">
        <v>87</v>
      </c>
      <c r="V4" t="b">
        <v>1</v>
      </c>
      <c r="W4">
        <v>-11.73</v>
      </c>
      <c r="X4">
        <v>-3</v>
      </c>
      <c r="Y4" t="s">
        <v>17</v>
      </c>
    </row>
    <row r="5" spans="1:25">
      <c r="A5" t="s">
        <v>112</v>
      </c>
      <c r="B5" t="s">
        <v>112</v>
      </c>
      <c r="C5" t="s">
        <v>92</v>
      </c>
      <c r="D5" t="s">
        <v>93</v>
      </c>
      <c r="E5" s="3">
        <v>45860</v>
      </c>
      <c r="F5">
        <v>-638.65</v>
      </c>
      <c r="G5" t="s">
        <v>56</v>
      </c>
      <c r="H5" t="s">
        <v>80</v>
      </c>
      <c r="I5" t="s">
        <v>97</v>
      </c>
      <c r="J5" t="s">
        <v>109</v>
      </c>
      <c r="K5" t="s">
        <v>78</v>
      </c>
      <c r="L5" t="s">
        <v>94</v>
      </c>
      <c r="M5" t="s">
        <v>95</v>
      </c>
      <c r="N5" s="3">
        <v>45859</v>
      </c>
      <c r="O5">
        <v>-631.24</v>
      </c>
      <c r="P5" t="s">
        <v>56</v>
      </c>
      <c r="Q5" t="s">
        <v>80</v>
      </c>
      <c r="R5" t="s">
        <v>97</v>
      </c>
      <c r="S5" t="s">
        <v>109</v>
      </c>
      <c r="T5" t="s">
        <v>78</v>
      </c>
      <c r="U5" t="s">
        <v>92</v>
      </c>
      <c r="V5" t="b">
        <v>1</v>
      </c>
      <c r="W5">
        <v>-7.41</v>
      </c>
      <c r="X5">
        <v>1</v>
      </c>
      <c r="Y5" t="s">
        <v>17</v>
      </c>
    </row>
    <row r="6" spans="1:25">
      <c r="A6" t="s">
        <v>132</v>
      </c>
      <c r="B6" t="s">
        <v>132</v>
      </c>
      <c r="C6" t="s">
        <v>54</v>
      </c>
      <c r="D6" t="s">
        <v>55</v>
      </c>
      <c r="E6" s="3">
        <v>45904</v>
      </c>
      <c r="F6">
        <v>-395.88</v>
      </c>
      <c r="G6" t="s">
        <v>56</v>
      </c>
      <c r="H6" t="s">
        <v>65</v>
      </c>
      <c r="I6" t="s">
        <v>58</v>
      </c>
      <c r="J6" t="s">
        <v>81</v>
      </c>
      <c r="K6" t="s">
        <v>59</v>
      </c>
      <c r="L6" t="s">
        <v>60</v>
      </c>
      <c r="M6" t="s">
        <v>61</v>
      </c>
      <c r="N6" s="3">
        <v>45902</v>
      </c>
      <c r="O6">
        <v>-393.87</v>
      </c>
      <c r="P6" t="s">
        <v>56</v>
      </c>
      <c r="Q6" t="s">
        <v>65</v>
      </c>
      <c r="R6" t="s">
        <v>58</v>
      </c>
      <c r="S6" t="s">
        <v>81</v>
      </c>
      <c r="T6" t="s">
        <v>59</v>
      </c>
      <c r="U6" t="s">
        <v>54</v>
      </c>
      <c r="V6" t="b">
        <v>1</v>
      </c>
      <c r="W6">
        <v>-2.0099999999999998</v>
      </c>
      <c r="X6">
        <v>2</v>
      </c>
      <c r="Y6" t="s">
        <v>17</v>
      </c>
    </row>
    <row r="7" spans="1:25">
      <c r="A7" t="s">
        <v>168</v>
      </c>
      <c r="B7" t="s">
        <v>168</v>
      </c>
      <c r="C7" t="s">
        <v>87</v>
      </c>
      <c r="D7" t="s">
        <v>88</v>
      </c>
      <c r="E7" s="3">
        <v>45913</v>
      </c>
      <c r="F7">
        <v>-407.8</v>
      </c>
      <c r="G7" t="s">
        <v>56</v>
      </c>
      <c r="H7" t="s">
        <v>80</v>
      </c>
      <c r="I7" t="s">
        <v>103</v>
      </c>
      <c r="J7" t="s">
        <v>66</v>
      </c>
      <c r="L7" t="s">
        <v>89</v>
      </c>
      <c r="M7" t="s">
        <v>90</v>
      </c>
      <c r="N7" s="3">
        <v>45914</v>
      </c>
      <c r="O7">
        <v>-406.08</v>
      </c>
      <c r="P7" t="s">
        <v>56</v>
      </c>
      <c r="Q7" t="s">
        <v>80</v>
      </c>
      <c r="R7" t="s">
        <v>103</v>
      </c>
      <c r="S7" t="s">
        <v>66</v>
      </c>
      <c r="U7" t="s">
        <v>87</v>
      </c>
      <c r="V7" t="b">
        <v>1</v>
      </c>
      <c r="W7">
        <v>-1.72</v>
      </c>
      <c r="X7">
        <v>-1</v>
      </c>
      <c r="Y7" t="s">
        <v>17</v>
      </c>
    </row>
    <row r="8" spans="1:25">
      <c r="A8" t="s">
        <v>173</v>
      </c>
      <c r="B8" t="s">
        <v>173</v>
      </c>
      <c r="C8" t="s">
        <v>63</v>
      </c>
      <c r="D8" t="s">
        <v>64</v>
      </c>
      <c r="E8" s="3">
        <v>45886</v>
      </c>
      <c r="F8">
        <v>-277.54000000000002</v>
      </c>
      <c r="G8" t="s">
        <v>56</v>
      </c>
      <c r="H8" t="s">
        <v>73</v>
      </c>
      <c r="I8" t="s">
        <v>103</v>
      </c>
      <c r="J8" t="s">
        <v>85</v>
      </c>
      <c r="K8" t="s">
        <v>78</v>
      </c>
      <c r="L8" t="s">
        <v>68</v>
      </c>
      <c r="M8" t="s">
        <v>69</v>
      </c>
      <c r="N8" s="3">
        <v>45888</v>
      </c>
      <c r="O8">
        <v>-272.58999999999997</v>
      </c>
      <c r="P8" t="s">
        <v>56</v>
      </c>
      <c r="Q8" t="s">
        <v>73</v>
      </c>
      <c r="R8" t="s">
        <v>103</v>
      </c>
      <c r="S8" t="s">
        <v>85</v>
      </c>
      <c r="T8" t="s">
        <v>78</v>
      </c>
      <c r="U8" t="s">
        <v>63</v>
      </c>
      <c r="V8" t="b">
        <v>1</v>
      </c>
      <c r="W8">
        <v>-4.95</v>
      </c>
      <c r="X8">
        <v>-2</v>
      </c>
      <c r="Y8" t="s">
        <v>17</v>
      </c>
    </row>
    <row r="9" spans="1:25">
      <c r="A9" t="s">
        <v>187</v>
      </c>
      <c r="B9" t="s">
        <v>187</v>
      </c>
      <c r="C9" t="s">
        <v>63</v>
      </c>
      <c r="D9" t="s">
        <v>64</v>
      </c>
      <c r="E9" s="3">
        <v>45866</v>
      </c>
      <c r="F9">
        <v>-55.5</v>
      </c>
      <c r="G9" t="s">
        <v>56</v>
      </c>
      <c r="H9" t="s">
        <v>57</v>
      </c>
      <c r="I9" t="s">
        <v>77</v>
      </c>
      <c r="J9" t="s">
        <v>66</v>
      </c>
      <c r="K9" t="s">
        <v>138</v>
      </c>
      <c r="L9" t="s">
        <v>68</v>
      </c>
      <c r="M9" t="s">
        <v>69</v>
      </c>
      <c r="N9" s="3">
        <v>45867</v>
      </c>
      <c r="O9">
        <v>-46.61</v>
      </c>
      <c r="P9" t="s">
        <v>56</v>
      </c>
      <c r="Q9" t="s">
        <v>57</v>
      </c>
      <c r="R9" t="s">
        <v>77</v>
      </c>
      <c r="S9" t="s">
        <v>66</v>
      </c>
      <c r="T9" t="s">
        <v>138</v>
      </c>
      <c r="U9" t="s">
        <v>63</v>
      </c>
      <c r="V9" t="b">
        <v>1</v>
      </c>
      <c r="W9">
        <v>-8.89</v>
      </c>
      <c r="X9">
        <v>-1</v>
      </c>
      <c r="Y9" t="s">
        <v>17</v>
      </c>
    </row>
    <row r="10" spans="1:25">
      <c r="A10" t="s">
        <v>189</v>
      </c>
      <c r="B10" t="s">
        <v>189</v>
      </c>
      <c r="C10" t="s">
        <v>92</v>
      </c>
      <c r="D10" t="s">
        <v>93</v>
      </c>
      <c r="E10" s="3">
        <v>45866</v>
      </c>
      <c r="F10">
        <v>-723.59</v>
      </c>
      <c r="G10" t="s">
        <v>56</v>
      </c>
      <c r="H10" t="s">
        <v>65</v>
      </c>
      <c r="I10" t="s">
        <v>58</v>
      </c>
      <c r="L10" t="s">
        <v>94</v>
      </c>
      <c r="M10" t="s">
        <v>95</v>
      </c>
      <c r="N10" s="3">
        <v>45869</v>
      </c>
      <c r="O10">
        <v>-719.22</v>
      </c>
      <c r="P10" t="s">
        <v>56</v>
      </c>
      <c r="Q10" t="s">
        <v>65</v>
      </c>
      <c r="R10" t="s">
        <v>58</v>
      </c>
      <c r="U10" t="s">
        <v>92</v>
      </c>
      <c r="V10" t="b">
        <v>1</v>
      </c>
      <c r="W10">
        <v>-4.37</v>
      </c>
      <c r="X10">
        <v>-3</v>
      </c>
      <c r="Y10" t="s">
        <v>17</v>
      </c>
    </row>
    <row r="11" spans="1:25">
      <c r="A11" t="s">
        <v>202</v>
      </c>
      <c r="B11" t="s">
        <v>202</v>
      </c>
      <c r="C11" t="s">
        <v>87</v>
      </c>
      <c r="D11" t="s">
        <v>88</v>
      </c>
      <c r="E11" s="3">
        <v>45862</v>
      </c>
      <c r="F11">
        <v>331.59</v>
      </c>
      <c r="G11" t="s">
        <v>56</v>
      </c>
      <c r="H11" t="s">
        <v>57</v>
      </c>
      <c r="I11" t="s">
        <v>103</v>
      </c>
      <c r="J11" t="s">
        <v>117</v>
      </c>
      <c r="K11" t="s">
        <v>107</v>
      </c>
      <c r="L11" t="s">
        <v>100</v>
      </c>
      <c r="M11" t="s">
        <v>101</v>
      </c>
      <c r="N11" s="3">
        <v>45860</v>
      </c>
      <c r="O11">
        <v>344.27</v>
      </c>
      <c r="P11" t="s">
        <v>56</v>
      </c>
      <c r="Q11" t="s">
        <v>57</v>
      </c>
      <c r="R11" t="s">
        <v>103</v>
      </c>
      <c r="S11" t="s">
        <v>117</v>
      </c>
      <c r="T11" t="s">
        <v>107</v>
      </c>
      <c r="U11" t="s">
        <v>87</v>
      </c>
      <c r="V11" t="b">
        <v>1</v>
      </c>
      <c r="W11">
        <v>-12.68</v>
      </c>
      <c r="X11">
        <v>2</v>
      </c>
      <c r="Y11" t="s">
        <v>17</v>
      </c>
    </row>
    <row r="12" spans="1:25">
      <c r="A12" t="s">
        <v>206</v>
      </c>
      <c r="B12" t="s">
        <v>206</v>
      </c>
      <c r="C12" t="s">
        <v>71</v>
      </c>
      <c r="D12" t="s">
        <v>72</v>
      </c>
      <c r="E12" s="3">
        <v>45858</v>
      </c>
      <c r="F12">
        <v>-414.47</v>
      </c>
      <c r="G12" t="s">
        <v>56</v>
      </c>
      <c r="H12" t="s">
        <v>73</v>
      </c>
      <c r="I12" t="s">
        <v>77</v>
      </c>
      <c r="J12" t="s">
        <v>117</v>
      </c>
      <c r="K12" t="s">
        <v>138</v>
      </c>
      <c r="L12" t="s">
        <v>74</v>
      </c>
      <c r="M12" t="s">
        <v>75</v>
      </c>
      <c r="N12" s="3">
        <v>45861</v>
      </c>
      <c r="O12">
        <v>-403.37</v>
      </c>
      <c r="P12" t="s">
        <v>56</v>
      </c>
      <c r="Q12" t="s">
        <v>73</v>
      </c>
      <c r="R12" t="s">
        <v>77</v>
      </c>
      <c r="S12" t="s">
        <v>117</v>
      </c>
      <c r="T12" t="s">
        <v>138</v>
      </c>
      <c r="U12" t="s">
        <v>71</v>
      </c>
      <c r="V12" t="b">
        <v>1</v>
      </c>
      <c r="W12">
        <v>-11.1</v>
      </c>
      <c r="X12">
        <v>-3</v>
      </c>
      <c r="Y12" t="s">
        <v>17</v>
      </c>
    </row>
    <row r="13" spans="1:25">
      <c r="A13" t="s">
        <v>210</v>
      </c>
      <c r="B13" t="s">
        <v>210</v>
      </c>
      <c r="C13" t="s">
        <v>71</v>
      </c>
      <c r="D13" t="s">
        <v>72</v>
      </c>
      <c r="E13" s="3">
        <v>45912</v>
      </c>
      <c r="F13">
        <v>597.89</v>
      </c>
      <c r="G13" t="s">
        <v>56</v>
      </c>
      <c r="H13" t="s">
        <v>80</v>
      </c>
      <c r="I13" t="s">
        <v>77</v>
      </c>
      <c r="K13" t="s">
        <v>138</v>
      </c>
      <c r="L13" t="s">
        <v>74</v>
      </c>
      <c r="M13" t="s">
        <v>75</v>
      </c>
      <c r="N13" s="3">
        <v>45911</v>
      </c>
      <c r="O13">
        <v>604.92999999999995</v>
      </c>
      <c r="P13" t="s">
        <v>56</v>
      </c>
      <c r="Q13" t="s">
        <v>80</v>
      </c>
      <c r="R13" t="s">
        <v>77</v>
      </c>
      <c r="T13" t="s">
        <v>138</v>
      </c>
      <c r="U13" t="s">
        <v>71</v>
      </c>
      <c r="V13" t="b">
        <v>1</v>
      </c>
      <c r="W13">
        <v>-7.04</v>
      </c>
      <c r="X13">
        <v>1</v>
      </c>
      <c r="Y13" t="s">
        <v>17</v>
      </c>
    </row>
    <row r="14" spans="1:25">
      <c r="A14" t="s">
        <v>212</v>
      </c>
      <c r="B14" t="s">
        <v>212</v>
      </c>
      <c r="C14" t="s">
        <v>71</v>
      </c>
      <c r="D14" t="s">
        <v>72</v>
      </c>
      <c r="E14" s="3">
        <v>45889</v>
      </c>
      <c r="F14">
        <v>-621.58000000000004</v>
      </c>
      <c r="G14" t="s">
        <v>56</v>
      </c>
      <c r="H14" t="s">
        <v>80</v>
      </c>
      <c r="I14" t="s">
        <v>77</v>
      </c>
      <c r="J14" t="s">
        <v>66</v>
      </c>
      <c r="L14" t="s">
        <v>74</v>
      </c>
      <c r="M14" t="s">
        <v>75</v>
      </c>
      <c r="N14" s="3">
        <v>45890</v>
      </c>
      <c r="O14">
        <v>-614.62</v>
      </c>
      <c r="P14" t="s">
        <v>56</v>
      </c>
      <c r="Q14" t="s">
        <v>80</v>
      </c>
      <c r="R14" t="s">
        <v>77</v>
      </c>
      <c r="S14" t="s">
        <v>66</v>
      </c>
      <c r="U14" t="s">
        <v>71</v>
      </c>
      <c r="V14" t="b">
        <v>1</v>
      </c>
      <c r="W14">
        <v>-6.96</v>
      </c>
      <c r="X14">
        <v>-1</v>
      </c>
      <c r="Y14" t="s">
        <v>17</v>
      </c>
    </row>
    <row r="15" spans="1:25">
      <c r="A15" t="s">
        <v>216</v>
      </c>
      <c r="B15" t="s">
        <v>216</v>
      </c>
      <c r="C15" t="s">
        <v>87</v>
      </c>
      <c r="D15" t="s">
        <v>88</v>
      </c>
      <c r="E15" s="3">
        <v>45904</v>
      </c>
      <c r="F15">
        <v>929.43</v>
      </c>
      <c r="G15" t="s">
        <v>56</v>
      </c>
      <c r="H15" t="s">
        <v>80</v>
      </c>
      <c r="I15" t="s">
        <v>77</v>
      </c>
      <c r="J15" t="s">
        <v>109</v>
      </c>
      <c r="K15" t="s">
        <v>78</v>
      </c>
      <c r="L15" t="s">
        <v>100</v>
      </c>
      <c r="M15" t="s">
        <v>101</v>
      </c>
      <c r="N15" s="3">
        <v>45905</v>
      </c>
      <c r="O15">
        <v>938.36</v>
      </c>
      <c r="P15" t="s">
        <v>56</v>
      </c>
      <c r="Q15" t="s">
        <v>80</v>
      </c>
      <c r="R15" t="s">
        <v>77</v>
      </c>
      <c r="S15" t="s">
        <v>109</v>
      </c>
      <c r="T15" t="s">
        <v>78</v>
      </c>
      <c r="U15" t="s">
        <v>87</v>
      </c>
      <c r="V15" t="b">
        <v>1</v>
      </c>
      <c r="W15">
        <v>-8.93</v>
      </c>
      <c r="X15">
        <v>-1</v>
      </c>
      <c r="Y15" t="s">
        <v>17</v>
      </c>
    </row>
    <row r="16" spans="1:25">
      <c r="A16" t="s">
        <v>233</v>
      </c>
      <c r="B16" t="s">
        <v>233</v>
      </c>
      <c r="C16" t="s">
        <v>87</v>
      </c>
      <c r="D16" t="s">
        <v>88</v>
      </c>
      <c r="E16" s="3">
        <v>45860</v>
      </c>
      <c r="F16">
        <v>-695.33</v>
      </c>
      <c r="G16" t="s">
        <v>56</v>
      </c>
      <c r="H16" t="s">
        <v>73</v>
      </c>
      <c r="I16" t="s">
        <v>77</v>
      </c>
      <c r="J16" t="s">
        <v>66</v>
      </c>
      <c r="K16" t="s">
        <v>138</v>
      </c>
      <c r="L16" t="s">
        <v>100</v>
      </c>
      <c r="M16" t="s">
        <v>101</v>
      </c>
      <c r="N16" s="3">
        <v>45858</v>
      </c>
      <c r="O16">
        <v>-685.77</v>
      </c>
      <c r="P16" t="s">
        <v>56</v>
      </c>
      <c r="Q16" t="s">
        <v>73</v>
      </c>
      <c r="R16" t="s">
        <v>77</v>
      </c>
      <c r="S16" t="s">
        <v>66</v>
      </c>
      <c r="T16" t="s">
        <v>138</v>
      </c>
      <c r="U16" t="s">
        <v>87</v>
      </c>
      <c r="V16" t="b">
        <v>1</v>
      </c>
      <c r="W16">
        <v>-9.56</v>
      </c>
      <c r="X16">
        <v>2</v>
      </c>
      <c r="Y16" t="s">
        <v>17</v>
      </c>
    </row>
    <row r="17" spans="1:25">
      <c r="A17" t="s">
        <v>236</v>
      </c>
      <c r="B17" t="s">
        <v>236</v>
      </c>
      <c r="C17" t="s">
        <v>87</v>
      </c>
      <c r="D17" t="s">
        <v>88</v>
      </c>
      <c r="E17" s="3">
        <v>45904</v>
      </c>
      <c r="F17">
        <v>741.05</v>
      </c>
      <c r="G17" t="s">
        <v>56</v>
      </c>
      <c r="H17" t="s">
        <v>57</v>
      </c>
      <c r="I17" t="s">
        <v>97</v>
      </c>
      <c r="J17" t="s">
        <v>117</v>
      </c>
      <c r="K17" t="s">
        <v>78</v>
      </c>
      <c r="L17" t="s">
        <v>100</v>
      </c>
      <c r="M17" t="s">
        <v>101</v>
      </c>
      <c r="N17" s="3">
        <v>45905</v>
      </c>
      <c r="O17">
        <v>748.65</v>
      </c>
      <c r="P17" t="s">
        <v>56</v>
      </c>
      <c r="Q17" t="s">
        <v>57</v>
      </c>
      <c r="R17" t="s">
        <v>97</v>
      </c>
      <c r="S17" t="s">
        <v>117</v>
      </c>
      <c r="T17" t="s">
        <v>78</v>
      </c>
      <c r="U17" t="s">
        <v>87</v>
      </c>
      <c r="V17" t="b">
        <v>1</v>
      </c>
      <c r="W17">
        <v>-7.6</v>
      </c>
      <c r="X17">
        <v>-1</v>
      </c>
      <c r="Y17" t="s">
        <v>17</v>
      </c>
    </row>
    <row r="18" spans="1:25">
      <c r="A18" t="s">
        <v>238</v>
      </c>
      <c r="B18" t="s">
        <v>238</v>
      </c>
      <c r="C18" t="s">
        <v>87</v>
      </c>
      <c r="D18" t="s">
        <v>88</v>
      </c>
      <c r="E18" s="3">
        <v>45863</v>
      </c>
      <c r="F18">
        <v>345.77</v>
      </c>
      <c r="G18" t="s">
        <v>56</v>
      </c>
      <c r="H18" t="s">
        <v>73</v>
      </c>
      <c r="I18" t="s">
        <v>97</v>
      </c>
      <c r="J18" t="s">
        <v>81</v>
      </c>
      <c r="K18" t="s">
        <v>67</v>
      </c>
      <c r="L18" t="s">
        <v>100</v>
      </c>
      <c r="M18" t="s">
        <v>101</v>
      </c>
      <c r="N18" s="3">
        <v>45862</v>
      </c>
      <c r="O18">
        <v>346.84</v>
      </c>
      <c r="P18" t="s">
        <v>56</v>
      </c>
      <c r="Q18" t="s">
        <v>73</v>
      </c>
      <c r="R18" t="s">
        <v>97</v>
      </c>
      <c r="S18" t="s">
        <v>81</v>
      </c>
      <c r="T18" t="s">
        <v>67</v>
      </c>
      <c r="U18" t="s">
        <v>87</v>
      </c>
      <c r="V18" t="b">
        <v>1</v>
      </c>
      <c r="W18">
        <v>-1.07</v>
      </c>
      <c r="X18">
        <v>1</v>
      </c>
      <c r="Y18" t="s">
        <v>17</v>
      </c>
    </row>
    <row r="19" spans="1:25">
      <c r="A19" t="s">
        <v>239</v>
      </c>
      <c r="B19" t="s">
        <v>239</v>
      </c>
      <c r="C19" t="s">
        <v>71</v>
      </c>
      <c r="D19" t="s">
        <v>72</v>
      </c>
      <c r="E19" s="3">
        <v>45915</v>
      </c>
      <c r="F19">
        <v>409.43</v>
      </c>
      <c r="G19" t="s">
        <v>56</v>
      </c>
      <c r="H19" t="s">
        <v>65</v>
      </c>
      <c r="I19" t="s">
        <v>77</v>
      </c>
      <c r="J19" t="s">
        <v>66</v>
      </c>
      <c r="K19" t="s">
        <v>78</v>
      </c>
      <c r="L19" t="s">
        <v>74</v>
      </c>
      <c r="M19" t="s">
        <v>75</v>
      </c>
      <c r="N19" s="3">
        <v>45917</v>
      </c>
      <c r="O19">
        <v>413.17</v>
      </c>
      <c r="P19" t="s">
        <v>56</v>
      </c>
      <c r="Q19" t="s">
        <v>65</v>
      </c>
      <c r="R19" t="s">
        <v>77</v>
      </c>
      <c r="S19" t="s">
        <v>66</v>
      </c>
      <c r="T19" t="s">
        <v>78</v>
      </c>
      <c r="U19" t="s">
        <v>71</v>
      </c>
      <c r="V19" t="b">
        <v>1</v>
      </c>
      <c r="W19">
        <v>-3.74</v>
      </c>
      <c r="X19">
        <v>-2</v>
      </c>
      <c r="Y19" t="s">
        <v>17</v>
      </c>
    </row>
    <row r="20" spans="1:25">
      <c r="A20" t="s">
        <v>259</v>
      </c>
      <c r="B20" t="s">
        <v>259</v>
      </c>
      <c r="C20" t="s">
        <v>150</v>
      </c>
      <c r="D20" t="s">
        <v>151</v>
      </c>
      <c r="E20" s="3">
        <v>45883</v>
      </c>
      <c r="F20">
        <v>51.59</v>
      </c>
      <c r="G20" t="s">
        <v>56</v>
      </c>
      <c r="H20" t="s">
        <v>65</v>
      </c>
      <c r="I20" t="s">
        <v>58</v>
      </c>
      <c r="L20" t="s">
        <v>152</v>
      </c>
      <c r="M20" t="s">
        <v>153</v>
      </c>
      <c r="N20" s="3">
        <v>45881</v>
      </c>
      <c r="O20">
        <v>62.68</v>
      </c>
      <c r="P20" t="s">
        <v>56</v>
      </c>
      <c r="Q20" t="s">
        <v>65</v>
      </c>
      <c r="R20" t="s">
        <v>58</v>
      </c>
      <c r="U20" t="s">
        <v>150</v>
      </c>
      <c r="V20" t="b">
        <v>1</v>
      </c>
      <c r="W20">
        <v>-11.09</v>
      </c>
      <c r="X20">
        <v>2</v>
      </c>
      <c r="Y20" t="s">
        <v>17</v>
      </c>
    </row>
    <row r="21" spans="1:25">
      <c r="A21" t="s">
        <v>269</v>
      </c>
      <c r="B21" t="s">
        <v>269</v>
      </c>
      <c r="C21" t="s">
        <v>87</v>
      </c>
      <c r="D21" t="s">
        <v>88</v>
      </c>
      <c r="E21" s="3">
        <v>45909</v>
      </c>
      <c r="F21">
        <v>-602.95000000000005</v>
      </c>
      <c r="G21" t="s">
        <v>56</v>
      </c>
      <c r="H21" t="s">
        <v>80</v>
      </c>
      <c r="I21" t="s">
        <v>77</v>
      </c>
      <c r="J21" t="s">
        <v>109</v>
      </c>
      <c r="K21" t="s">
        <v>138</v>
      </c>
      <c r="L21" t="s">
        <v>89</v>
      </c>
      <c r="M21" t="s">
        <v>90</v>
      </c>
      <c r="N21" s="3">
        <v>45908</v>
      </c>
      <c r="O21">
        <v>-584.4</v>
      </c>
      <c r="P21" t="s">
        <v>56</v>
      </c>
      <c r="Q21" t="s">
        <v>80</v>
      </c>
      <c r="R21" t="s">
        <v>77</v>
      </c>
      <c r="S21" t="s">
        <v>109</v>
      </c>
      <c r="T21" t="s">
        <v>138</v>
      </c>
      <c r="U21" t="s">
        <v>87</v>
      </c>
      <c r="V21" t="b">
        <v>1</v>
      </c>
      <c r="W21">
        <v>-18.55</v>
      </c>
      <c r="X21">
        <v>1</v>
      </c>
      <c r="Y21" t="s">
        <v>17</v>
      </c>
    </row>
    <row r="22" spans="1:25">
      <c r="A22" t="s">
        <v>270</v>
      </c>
      <c r="B22" t="s">
        <v>270</v>
      </c>
      <c r="C22" t="s">
        <v>150</v>
      </c>
      <c r="D22" t="s">
        <v>151</v>
      </c>
      <c r="E22" s="3">
        <v>45896</v>
      </c>
      <c r="F22">
        <v>-965.01</v>
      </c>
      <c r="G22" t="s">
        <v>56</v>
      </c>
      <c r="H22" t="s">
        <v>65</v>
      </c>
      <c r="I22" t="s">
        <v>58</v>
      </c>
      <c r="K22" t="s">
        <v>67</v>
      </c>
      <c r="L22" t="s">
        <v>152</v>
      </c>
      <c r="M22" t="s">
        <v>153</v>
      </c>
      <c r="N22" s="3">
        <v>45894</v>
      </c>
      <c r="O22">
        <v>-949.08</v>
      </c>
      <c r="P22" t="s">
        <v>56</v>
      </c>
      <c r="Q22" t="s">
        <v>65</v>
      </c>
      <c r="R22" t="s">
        <v>58</v>
      </c>
      <c r="T22" t="s">
        <v>67</v>
      </c>
      <c r="U22" t="s">
        <v>150</v>
      </c>
      <c r="V22" t="b">
        <v>1</v>
      </c>
      <c r="W22">
        <v>-15.93</v>
      </c>
      <c r="X22">
        <v>2</v>
      </c>
      <c r="Y22" t="s">
        <v>17</v>
      </c>
    </row>
    <row r="23" spans="1:25">
      <c r="A23" t="s">
        <v>281</v>
      </c>
      <c r="B23" t="s">
        <v>281</v>
      </c>
      <c r="C23" t="s">
        <v>119</v>
      </c>
      <c r="D23" t="s">
        <v>120</v>
      </c>
      <c r="E23" s="3">
        <v>45916</v>
      </c>
      <c r="F23">
        <v>738.53</v>
      </c>
      <c r="G23" t="s">
        <v>56</v>
      </c>
      <c r="H23" t="s">
        <v>57</v>
      </c>
      <c r="I23" t="s">
        <v>97</v>
      </c>
      <c r="J23" t="s">
        <v>109</v>
      </c>
      <c r="L23" t="s">
        <v>121</v>
      </c>
      <c r="M23" t="s">
        <v>122</v>
      </c>
      <c r="N23" s="3">
        <v>45917</v>
      </c>
      <c r="O23">
        <v>737.16</v>
      </c>
      <c r="P23" t="s">
        <v>56</v>
      </c>
      <c r="Q23" t="s">
        <v>57</v>
      </c>
      <c r="R23" t="s">
        <v>97</v>
      </c>
      <c r="S23" t="s">
        <v>109</v>
      </c>
      <c r="U23" t="s">
        <v>119</v>
      </c>
      <c r="V23" t="b">
        <v>1</v>
      </c>
      <c r="W23">
        <v>1.37</v>
      </c>
      <c r="X23">
        <v>-1</v>
      </c>
      <c r="Y23" t="s">
        <v>17</v>
      </c>
    </row>
    <row r="24" spans="1:25">
      <c r="A24" t="s">
        <v>284</v>
      </c>
      <c r="B24" t="s">
        <v>284</v>
      </c>
      <c r="C24" t="s">
        <v>150</v>
      </c>
      <c r="D24" t="s">
        <v>151</v>
      </c>
      <c r="E24" s="3">
        <v>45872</v>
      </c>
      <c r="F24">
        <v>740.27</v>
      </c>
      <c r="G24" t="s">
        <v>56</v>
      </c>
      <c r="H24" t="s">
        <v>65</v>
      </c>
      <c r="I24" t="s">
        <v>58</v>
      </c>
      <c r="J24" t="s">
        <v>85</v>
      </c>
      <c r="L24" t="s">
        <v>152</v>
      </c>
      <c r="M24" t="s">
        <v>153</v>
      </c>
      <c r="N24" s="3">
        <v>45871</v>
      </c>
      <c r="O24">
        <v>747.94</v>
      </c>
      <c r="P24" t="s">
        <v>56</v>
      </c>
      <c r="Q24" t="s">
        <v>65</v>
      </c>
      <c r="R24" t="s">
        <v>58</v>
      </c>
      <c r="S24" t="s">
        <v>85</v>
      </c>
      <c r="U24" t="s">
        <v>150</v>
      </c>
      <c r="V24" t="b">
        <v>1</v>
      </c>
      <c r="W24">
        <v>-7.67</v>
      </c>
      <c r="X24">
        <v>1</v>
      </c>
      <c r="Y24" t="s">
        <v>17</v>
      </c>
    </row>
    <row r="25" spans="1:25">
      <c r="A25" t="s">
        <v>288</v>
      </c>
      <c r="B25" t="s">
        <v>288</v>
      </c>
      <c r="C25" t="s">
        <v>150</v>
      </c>
      <c r="D25" t="s">
        <v>151</v>
      </c>
      <c r="E25" s="3">
        <v>45858</v>
      </c>
      <c r="F25">
        <v>-380.4</v>
      </c>
      <c r="G25" t="s">
        <v>56</v>
      </c>
      <c r="H25" t="s">
        <v>73</v>
      </c>
      <c r="I25" t="s">
        <v>77</v>
      </c>
      <c r="J25" t="s">
        <v>81</v>
      </c>
      <c r="K25" t="s">
        <v>67</v>
      </c>
      <c r="L25" t="s">
        <v>152</v>
      </c>
      <c r="M25" t="s">
        <v>153</v>
      </c>
      <c r="N25" s="3">
        <v>45858</v>
      </c>
      <c r="O25">
        <v>-381.78</v>
      </c>
      <c r="P25" t="s">
        <v>56</v>
      </c>
      <c r="Q25" t="s">
        <v>73</v>
      </c>
      <c r="R25" t="s">
        <v>77</v>
      </c>
      <c r="S25" t="s">
        <v>81</v>
      </c>
      <c r="T25" t="s">
        <v>67</v>
      </c>
      <c r="U25" t="s">
        <v>150</v>
      </c>
      <c r="V25" t="b">
        <v>1</v>
      </c>
      <c r="W25">
        <v>1.38</v>
      </c>
      <c r="X25">
        <v>0</v>
      </c>
      <c r="Y25" t="s">
        <v>17</v>
      </c>
    </row>
    <row r="26" spans="1:25">
      <c r="A26" t="s">
        <v>304</v>
      </c>
      <c r="B26" t="s">
        <v>304</v>
      </c>
      <c r="C26" t="s">
        <v>119</v>
      </c>
      <c r="D26" t="s">
        <v>120</v>
      </c>
      <c r="E26" s="3">
        <v>45904</v>
      </c>
      <c r="F26">
        <v>22.31</v>
      </c>
      <c r="G26" t="s">
        <v>56</v>
      </c>
      <c r="H26" t="s">
        <v>80</v>
      </c>
      <c r="I26" t="s">
        <v>103</v>
      </c>
      <c r="J26" t="s">
        <v>99</v>
      </c>
      <c r="K26" t="s">
        <v>105</v>
      </c>
      <c r="L26" t="s">
        <v>121</v>
      </c>
      <c r="M26" t="s">
        <v>122</v>
      </c>
      <c r="N26" s="3">
        <v>45902</v>
      </c>
      <c r="O26">
        <v>28.37</v>
      </c>
      <c r="P26" t="s">
        <v>56</v>
      </c>
      <c r="Q26" t="s">
        <v>80</v>
      </c>
      <c r="R26" t="s">
        <v>103</v>
      </c>
      <c r="S26" t="s">
        <v>99</v>
      </c>
      <c r="T26" t="s">
        <v>105</v>
      </c>
      <c r="U26" t="s">
        <v>119</v>
      </c>
      <c r="V26" t="b">
        <v>1</v>
      </c>
      <c r="W26">
        <v>-6.06</v>
      </c>
      <c r="X26">
        <v>2</v>
      </c>
      <c r="Y26" t="s">
        <v>17</v>
      </c>
    </row>
    <row r="27" spans="1:25">
      <c r="A27" t="s">
        <v>306</v>
      </c>
      <c r="B27" t="s">
        <v>306</v>
      </c>
      <c r="C27" t="s">
        <v>87</v>
      </c>
      <c r="D27" t="s">
        <v>88</v>
      </c>
      <c r="E27" s="3">
        <v>45866</v>
      </c>
      <c r="F27">
        <v>-734.71</v>
      </c>
      <c r="G27" t="s">
        <v>56</v>
      </c>
      <c r="H27" t="s">
        <v>73</v>
      </c>
      <c r="I27" t="s">
        <v>77</v>
      </c>
      <c r="J27" t="s">
        <v>85</v>
      </c>
      <c r="K27" t="s">
        <v>138</v>
      </c>
      <c r="L27" t="s">
        <v>89</v>
      </c>
      <c r="M27" t="s">
        <v>90</v>
      </c>
      <c r="N27" s="3">
        <v>45868</v>
      </c>
      <c r="O27">
        <v>-725.79</v>
      </c>
      <c r="P27" t="s">
        <v>56</v>
      </c>
      <c r="Q27" t="s">
        <v>73</v>
      </c>
      <c r="R27" t="s">
        <v>77</v>
      </c>
      <c r="S27" t="s">
        <v>85</v>
      </c>
      <c r="T27" t="s">
        <v>138</v>
      </c>
      <c r="U27" t="s">
        <v>87</v>
      </c>
      <c r="V27" t="b">
        <v>1</v>
      </c>
      <c r="W27">
        <v>-8.92</v>
      </c>
      <c r="X27">
        <v>-2</v>
      </c>
      <c r="Y27" t="s">
        <v>17</v>
      </c>
    </row>
    <row r="28" spans="1:25">
      <c r="A28" t="s">
        <v>311</v>
      </c>
      <c r="B28" t="s">
        <v>311</v>
      </c>
      <c r="C28" t="s">
        <v>150</v>
      </c>
      <c r="D28" t="s">
        <v>151</v>
      </c>
      <c r="E28" s="3">
        <v>45912</v>
      </c>
      <c r="F28">
        <v>164.09</v>
      </c>
      <c r="G28" t="s">
        <v>56</v>
      </c>
      <c r="H28" t="s">
        <v>80</v>
      </c>
      <c r="I28" t="s">
        <v>77</v>
      </c>
      <c r="K28" t="s">
        <v>138</v>
      </c>
      <c r="L28" t="s">
        <v>152</v>
      </c>
      <c r="M28" t="s">
        <v>153</v>
      </c>
      <c r="N28" s="3">
        <v>45910</v>
      </c>
      <c r="O28">
        <v>169.47</v>
      </c>
      <c r="P28" t="s">
        <v>56</v>
      </c>
      <c r="Q28" t="s">
        <v>80</v>
      </c>
      <c r="R28" t="s">
        <v>77</v>
      </c>
      <c r="T28" t="s">
        <v>138</v>
      </c>
      <c r="U28" t="s">
        <v>150</v>
      </c>
      <c r="V28" t="b">
        <v>1</v>
      </c>
      <c r="W28">
        <v>-5.38</v>
      </c>
      <c r="X28">
        <v>2</v>
      </c>
      <c r="Y28" t="s">
        <v>17</v>
      </c>
    </row>
    <row r="29" spans="1:25">
      <c r="A29" t="s">
        <v>327</v>
      </c>
      <c r="B29" t="s">
        <v>327</v>
      </c>
      <c r="C29" t="s">
        <v>63</v>
      </c>
      <c r="D29" t="s">
        <v>64</v>
      </c>
      <c r="E29" s="3">
        <v>45858</v>
      </c>
      <c r="F29">
        <v>-648.1</v>
      </c>
      <c r="G29" t="s">
        <v>56</v>
      </c>
      <c r="H29" t="s">
        <v>57</v>
      </c>
      <c r="I29" t="s">
        <v>58</v>
      </c>
      <c r="J29" t="s">
        <v>109</v>
      </c>
      <c r="K29" t="s">
        <v>107</v>
      </c>
      <c r="L29" t="s">
        <v>82</v>
      </c>
      <c r="M29" t="s">
        <v>83</v>
      </c>
      <c r="N29" s="3">
        <v>45858</v>
      </c>
      <c r="O29">
        <v>-649.42999999999995</v>
      </c>
      <c r="P29" t="s">
        <v>56</v>
      </c>
      <c r="Q29" t="s">
        <v>57</v>
      </c>
      <c r="R29" t="s">
        <v>58</v>
      </c>
      <c r="S29" t="s">
        <v>109</v>
      </c>
      <c r="T29" t="s">
        <v>107</v>
      </c>
      <c r="U29" t="s">
        <v>63</v>
      </c>
      <c r="V29" t="b">
        <v>1</v>
      </c>
      <c r="W29">
        <v>1.33</v>
      </c>
      <c r="X29">
        <v>0</v>
      </c>
      <c r="Y29" t="s">
        <v>17</v>
      </c>
    </row>
    <row r="30" spans="1:25">
      <c r="A30" t="s">
        <v>329</v>
      </c>
      <c r="B30" t="s">
        <v>329</v>
      </c>
      <c r="C30" t="s">
        <v>92</v>
      </c>
      <c r="D30" t="s">
        <v>93</v>
      </c>
      <c r="E30" s="3">
        <v>45914</v>
      </c>
      <c r="F30">
        <v>935.09</v>
      </c>
      <c r="G30" t="s">
        <v>56</v>
      </c>
      <c r="H30" t="s">
        <v>73</v>
      </c>
      <c r="I30" t="s">
        <v>58</v>
      </c>
      <c r="J30" t="s">
        <v>81</v>
      </c>
      <c r="K30" t="s">
        <v>78</v>
      </c>
      <c r="L30" t="s">
        <v>125</v>
      </c>
      <c r="M30" t="s">
        <v>126</v>
      </c>
      <c r="N30" s="3">
        <v>45913</v>
      </c>
      <c r="O30">
        <v>945.43</v>
      </c>
      <c r="P30" t="s">
        <v>56</v>
      </c>
      <c r="Q30" t="s">
        <v>73</v>
      </c>
      <c r="R30" t="s">
        <v>58</v>
      </c>
      <c r="S30" t="s">
        <v>81</v>
      </c>
      <c r="T30" t="s">
        <v>78</v>
      </c>
      <c r="U30" t="s">
        <v>92</v>
      </c>
      <c r="V30" t="b">
        <v>1</v>
      </c>
      <c r="W30">
        <v>-10.34</v>
      </c>
      <c r="X30">
        <v>1</v>
      </c>
      <c r="Y30" t="s">
        <v>17</v>
      </c>
    </row>
    <row r="31" spans="1:25">
      <c r="A31" t="s">
        <v>334</v>
      </c>
      <c r="B31" t="s">
        <v>334</v>
      </c>
      <c r="C31" t="s">
        <v>63</v>
      </c>
      <c r="D31" t="s">
        <v>64</v>
      </c>
      <c r="E31" s="3">
        <v>45907</v>
      </c>
      <c r="F31">
        <v>670.71</v>
      </c>
      <c r="G31" t="s">
        <v>56</v>
      </c>
      <c r="H31" t="s">
        <v>73</v>
      </c>
      <c r="I31" t="s">
        <v>58</v>
      </c>
      <c r="J31" t="s">
        <v>99</v>
      </c>
      <c r="K31" t="s">
        <v>67</v>
      </c>
      <c r="L31" t="s">
        <v>82</v>
      </c>
      <c r="M31" t="s">
        <v>83</v>
      </c>
      <c r="N31" s="3">
        <v>45905</v>
      </c>
      <c r="O31">
        <v>672.32</v>
      </c>
      <c r="P31" t="s">
        <v>56</v>
      </c>
      <c r="Q31" t="s">
        <v>73</v>
      </c>
      <c r="R31" t="s">
        <v>58</v>
      </c>
      <c r="S31" t="s">
        <v>99</v>
      </c>
      <c r="T31" t="s">
        <v>67</v>
      </c>
      <c r="U31" t="s">
        <v>63</v>
      </c>
      <c r="V31" t="b">
        <v>1</v>
      </c>
      <c r="W31">
        <v>-1.61</v>
      </c>
      <c r="X31">
        <v>2</v>
      </c>
      <c r="Y31" t="s">
        <v>17</v>
      </c>
    </row>
    <row r="32" spans="1:25">
      <c r="A32" t="s">
        <v>349</v>
      </c>
      <c r="B32" t="s">
        <v>349</v>
      </c>
      <c r="C32" t="s">
        <v>87</v>
      </c>
      <c r="D32" t="s">
        <v>88</v>
      </c>
      <c r="E32" s="3">
        <v>45881</v>
      </c>
      <c r="F32">
        <v>-25.03</v>
      </c>
      <c r="G32" t="s">
        <v>56</v>
      </c>
      <c r="H32" t="s">
        <v>65</v>
      </c>
      <c r="I32" t="s">
        <v>103</v>
      </c>
      <c r="J32" t="s">
        <v>109</v>
      </c>
      <c r="K32" t="s">
        <v>138</v>
      </c>
      <c r="L32" t="s">
        <v>89</v>
      </c>
      <c r="M32" t="s">
        <v>90</v>
      </c>
      <c r="N32" s="3">
        <v>45880</v>
      </c>
      <c r="O32">
        <v>-23.96</v>
      </c>
      <c r="P32" t="s">
        <v>56</v>
      </c>
      <c r="Q32" t="s">
        <v>65</v>
      </c>
      <c r="R32" t="s">
        <v>103</v>
      </c>
      <c r="S32" t="s">
        <v>109</v>
      </c>
      <c r="T32" t="s">
        <v>138</v>
      </c>
      <c r="U32" t="s">
        <v>87</v>
      </c>
      <c r="V32" t="b">
        <v>1</v>
      </c>
      <c r="W32">
        <v>-1.07</v>
      </c>
      <c r="X32">
        <v>1</v>
      </c>
      <c r="Y32" t="s">
        <v>17</v>
      </c>
    </row>
    <row r="33" spans="1:25">
      <c r="A33" t="s">
        <v>358</v>
      </c>
      <c r="B33" t="s">
        <v>358</v>
      </c>
      <c r="C33" t="s">
        <v>63</v>
      </c>
      <c r="D33" t="s">
        <v>64</v>
      </c>
      <c r="E33" s="3">
        <v>45881</v>
      </c>
      <c r="F33">
        <v>458.26</v>
      </c>
      <c r="G33" t="s">
        <v>56</v>
      </c>
      <c r="H33" t="s">
        <v>57</v>
      </c>
      <c r="I33" t="s">
        <v>58</v>
      </c>
      <c r="J33" t="s">
        <v>99</v>
      </c>
      <c r="K33" t="s">
        <v>59</v>
      </c>
      <c r="L33" t="s">
        <v>82</v>
      </c>
      <c r="M33" t="s">
        <v>83</v>
      </c>
      <c r="N33" s="3">
        <v>45879</v>
      </c>
      <c r="O33">
        <v>461.5</v>
      </c>
      <c r="P33" t="s">
        <v>56</v>
      </c>
      <c r="Q33" t="s">
        <v>57</v>
      </c>
      <c r="R33" t="s">
        <v>58</v>
      </c>
      <c r="S33" t="s">
        <v>99</v>
      </c>
      <c r="T33" t="s">
        <v>59</v>
      </c>
      <c r="U33" t="s">
        <v>63</v>
      </c>
      <c r="V33" t="b">
        <v>1</v>
      </c>
      <c r="W33">
        <v>-3.24</v>
      </c>
      <c r="X33">
        <v>2</v>
      </c>
      <c r="Y33" t="s">
        <v>17</v>
      </c>
    </row>
    <row r="34" spans="1:25">
      <c r="A34" t="s">
        <v>359</v>
      </c>
      <c r="B34" t="s">
        <v>359</v>
      </c>
      <c r="C34" t="s">
        <v>87</v>
      </c>
      <c r="D34" t="s">
        <v>88</v>
      </c>
      <c r="E34" s="3">
        <v>45867</v>
      </c>
      <c r="F34">
        <v>442.55</v>
      </c>
      <c r="G34" t="s">
        <v>56</v>
      </c>
      <c r="H34" t="s">
        <v>65</v>
      </c>
      <c r="I34" t="s">
        <v>103</v>
      </c>
      <c r="J34" t="s">
        <v>66</v>
      </c>
      <c r="L34" t="s">
        <v>89</v>
      </c>
      <c r="M34" t="s">
        <v>90</v>
      </c>
      <c r="N34" s="3">
        <v>45869</v>
      </c>
      <c r="O34">
        <v>444.71</v>
      </c>
      <c r="P34" t="s">
        <v>56</v>
      </c>
      <c r="Q34" t="s">
        <v>65</v>
      </c>
      <c r="R34" t="s">
        <v>103</v>
      </c>
      <c r="S34" t="s">
        <v>66</v>
      </c>
      <c r="U34" t="s">
        <v>87</v>
      </c>
      <c r="V34" t="b">
        <v>1</v>
      </c>
      <c r="W34">
        <v>-2.16</v>
      </c>
      <c r="X34">
        <v>-2</v>
      </c>
      <c r="Y34" t="s">
        <v>17</v>
      </c>
    </row>
    <row r="35" spans="1:25">
      <c r="A35" t="s">
        <v>364</v>
      </c>
      <c r="B35" t="s">
        <v>364</v>
      </c>
      <c r="C35" t="s">
        <v>71</v>
      </c>
      <c r="D35" t="s">
        <v>72</v>
      </c>
      <c r="E35" s="3">
        <v>45897</v>
      </c>
      <c r="F35">
        <v>382.96</v>
      </c>
      <c r="G35" t="s">
        <v>56</v>
      </c>
      <c r="H35" t="s">
        <v>80</v>
      </c>
      <c r="I35" t="s">
        <v>103</v>
      </c>
      <c r="J35" t="s">
        <v>66</v>
      </c>
      <c r="K35" t="s">
        <v>78</v>
      </c>
      <c r="L35" t="s">
        <v>74</v>
      </c>
      <c r="M35" t="s">
        <v>75</v>
      </c>
      <c r="N35" s="3">
        <v>45895</v>
      </c>
      <c r="O35">
        <v>395.64</v>
      </c>
      <c r="P35" t="s">
        <v>56</v>
      </c>
      <c r="Q35" t="s">
        <v>80</v>
      </c>
      <c r="R35" t="s">
        <v>103</v>
      </c>
      <c r="S35" t="s">
        <v>66</v>
      </c>
      <c r="T35" t="s">
        <v>78</v>
      </c>
      <c r="U35" t="s">
        <v>71</v>
      </c>
      <c r="V35" t="b">
        <v>1</v>
      </c>
      <c r="W35">
        <v>-12.68</v>
      </c>
      <c r="X35">
        <v>2</v>
      </c>
      <c r="Y35" t="s">
        <v>17</v>
      </c>
    </row>
    <row r="36" spans="1:25">
      <c r="A36" t="s">
        <v>382</v>
      </c>
      <c r="B36" t="s">
        <v>382</v>
      </c>
      <c r="C36" t="s">
        <v>92</v>
      </c>
      <c r="D36" t="s">
        <v>93</v>
      </c>
      <c r="E36" s="3">
        <v>45901</v>
      </c>
      <c r="F36">
        <v>651.16</v>
      </c>
      <c r="G36" t="s">
        <v>56</v>
      </c>
      <c r="H36" t="s">
        <v>80</v>
      </c>
      <c r="I36" t="s">
        <v>77</v>
      </c>
      <c r="J36" t="s">
        <v>99</v>
      </c>
      <c r="K36" t="s">
        <v>67</v>
      </c>
      <c r="L36" t="s">
        <v>94</v>
      </c>
      <c r="M36" t="s">
        <v>95</v>
      </c>
      <c r="N36" s="3">
        <v>45903</v>
      </c>
      <c r="O36">
        <v>655.37</v>
      </c>
      <c r="P36" t="s">
        <v>56</v>
      </c>
      <c r="Q36" t="s">
        <v>80</v>
      </c>
      <c r="R36" t="s">
        <v>77</v>
      </c>
      <c r="S36" t="s">
        <v>99</v>
      </c>
      <c r="T36" t="s">
        <v>67</v>
      </c>
      <c r="U36" t="s">
        <v>92</v>
      </c>
      <c r="V36" t="b">
        <v>1</v>
      </c>
      <c r="W36">
        <v>-4.21</v>
      </c>
      <c r="X36">
        <v>-2</v>
      </c>
      <c r="Y36" t="s">
        <v>17</v>
      </c>
    </row>
    <row r="37" spans="1:25">
      <c r="A37" t="s">
        <v>384</v>
      </c>
      <c r="B37" t="s">
        <v>384</v>
      </c>
      <c r="C37" t="s">
        <v>63</v>
      </c>
      <c r="D37" t="s">
        <v>64</v>
      </c>
      <c r="E37" s="3">
        <v>45900</v>
      </c>
      <c r="F37">
        <v>357.89</v>
      </c>
      <c r="G37" t="s">
        <v>56</v>
      </c>
      <c r="H37" t="s">
        <v>80</v>
      </c>
      <c r="I37" t="s">
        <v>58</v>
      </c>
      <c r="J37" t="s">
        <v>85</v>
      </c>
      <c r="K37" t="s">
        <v>67</v>
      </c>
      <c r="L37" t="s">
        <v>82</v>
      </c>
      <c r="M37" t="s">
        <v>83</v>
      </c>
      <c r="N37" s="3">
        <v>45899</v>
      </c>
      <c r="O37">
        <v>356.04</v>
      </c>
      <c r="P37" t="s">
        <v>56</v>
      </c>
      <c r="Q37" t="s">
        <v>80</v>
      </c>
      <c r="R37" t="s">
        <v>58</v>
      </c>
      <c r="S37" t="s">
        <v>85</v>
      </c>
      <c r="T37" t="s">
        <v>67</v>
      </c>
      <c r="U37" t="s">
        <v>63</v>
      </c>
      <c r="V37" t="b">
        <v>1</v>
      </c>
      <c r="W37">
        <v>1.85</v>
      </c>
      <c r="X37">
        <v>1</v>
      </c>
      <c r="Y37" t="s">
        <v>17</v>
      </c>
    </row>
    <row r="38" spans="1:25">
      <c r="A38" t="s">
        <v>391</v>
      </c>
      <c r="B38" t="s">
        <v>391</v>
      </c>
      <c r="C38" t="s">
        <v>150</v>
      </c>
      <c r="D38" t="s">
        <v>151</v>
      </c>
      <c r="E38" s="3">
        <v>45894</v>
      </c>
      <c r="F38">
        <v>444.26</v>
      </c>
      <c r="G38" t="s">
        <v>56</v>
      </c>
      <c r="H38" t="s">
        <v>57</v>
      </c>
      <c r="I38" t="s">
        <v>58</v>
      </c>
      <c r="J38" t="s">
        <v>117</v>
      </c>
      <c r="K38" t="s">
        <v>105</v>
      </c>
      <c r="L38" t="s">
        <v>152</v>
      </c>
      <c r="M38" t="s">
        <v>153</v>
      </c>
      <c r="N38" s="3">
        <v>45897</v>
      </c>
      <c r="O38">
        <v>446.19</v>
      </c>
      <c r="P38" t="s">
        <v>56</v>
      </c>
      <c r="Q38" t="s">
        <v>57</v>
      </c>
      <c r="R38" t="s">
        <v>58</v>
      </c>
      <c r="S38" t="s">
        <v>117</v>
      </c>
      <c r="T38" t="s">
        <v>105</v>
      </c>
      <c r="U38" t="s">
        <v>150</v>
      </c>
      <c r="V38" t="b">
        <v>1</v>
      </c>
      <c r="W38">
        <v>-1.93</v>
      </c>
      <c r="X38">
        <v>-3</v>
      </c>
      <c r="Y38" t="s">
        <v>17</v>
      </c>
    </row>
    <row r="39" spans="1:25">
      <c r="A39" t="s">
        <v>401</v>
      </c>
      <c r="B39" t="s">
        <v>401</v>
      </c>
      <c r="C39" t="s">
        <v>92</v>
      </c>
      <c r="D39" t="s">
        <v>93</v>
      </c>
      <c r="E39" s="3">
        <v>45863</v>
      </c>
      <c r="F39">
        <v>-262.2</v>
      </c>
      <c r="G39" t="s">
        <v>56</v>
      </c>
      <c r="H39" t="s">
        <v>73</v>
      </c>
      <c r="I39" t="s">
        <v>97</v>
      </c>
      <c r="J39" t="s">
        <v>81</v>
      </c>
      <c r="K39" t="s">
        <v>105</v>
      </c>
      <c r="L39" t="s">
        <v>125</v>
      </c>
      <c r="M39" t="s">
        <v>126</v>
      </c>
      <c r="N39" s="3">
        <v>45866</v>
      </c>
      <c r="O39">
        <v>-254.48</v>
      </c>
      <c r="P39" t="s">
        <v>56</v>
      </c>
      <c r="Q39" t="s">
        <v>73</v>
      </c>
      <c r="R39" t="s">
        <v>97</v>
      </c>
      <c r="S39" t="s">
        <v>81</v>
      </c>
      <c r="T39" t="s">
        <v>105</v>
      </c>
      <c r="U39" t="s">
        <v>92</v>
      </c>
      <c r="V39" t="b">
        <v>1</v>
      </c>
      <c r="W39">
        <v>-7.72</v>
      </c>
      <c r="X39">
        <v>-3</v>
      </c>
      <c r="Y39" t="s">
        <v>17</v>
      </c>
    </row>
    <row r="40" spans="1:25">
      <c r="A40" t="s">
        <v>402</v>
      </c>
      <c r="B40" t="s">
        <v>402</v>
      </c>
      <c r="C40" t="s">
        <v>63</v>
      </c>
      <c r="D40" t="s">
        <v>64</v>
      </c>
      <c r="E40" s="3">
        <v>45884</v>
      </c>
      <c r="F40">
        <v>-394.93</v>
      </c>
      <c r="G40" t="s">
        <v>56</v>
      </c>
      <c r="H40" t="s">
        <v>57</v>
      </c>
      <c r="I40" t="s">
        <v>58</v>
      </c>
      <c r="J40" t="s">
        <v>81</v>
      </c>
      <c r="L40" t="s">
        <v>82</v>
      </c>
      <c r="M40" t="s">
        <v>83</v>
      </c>
      <c r="N40" s="3">
        <v>45882</v>
      </c>
      <c r="O40">
        <v>-387.63</v>
      </c>
      <c r="P40" t="s">
        <v>56</v>
      </c>
      <c r="Q40" t="s">
        <v>57</v>
      </c>
      <c r="R40" t="s">
        <v>58</v>
      </c>
      <c r="S40" t="s">
        <v>81</v>
      </c>
      <c r="U40" t="s">
        <v>63</v>
      </c>
      <c r="V40" t="b">
        <v>1</v>
      </c>
      <c r="W40">
        <v>-7.3</v>
      </c>
      <c r="X40">
        <v>2</v>
      </c>
      <c r="Y40" t="s">
        <v>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</cols>
  <sheetData>
    <row r="1" spans="1:2">
      <c r="A1" t="s">
        <v>40</v>
      </c>
      <c r="B1" t="s">
        <v>31</v>
      </c>
    </row>
    <row r="2" spans="1:2">
      <c r="A2" t="s">
        <v>82</v>
      </c>
      <c r="B2" t="s">
        <v>63</v>
      </c>
    </row>
    <row r="3" spans="1:2">
      <c r="A3" t="s">
        <v>68</v>
      </c>
      <c r="B3" t="s">
        <v>63</v>
      </c>
    </row>
    <row r="4" spans="1:2">
      <c r="A4" t="s">
        <v>152</v>
      </c>
      <c r="B4" t="s">
        <v>150</v>
      </c>
    </row>
    <row r="5" spans="1:2">
      <c r="A5" t="s">
        <v>89</v>
      </c>
      <c r="B5" t="s">
        <v>87</v>
      </c>
    </row>
    <row r="6" spans="1:2">
      <c r="A6" t="s">
        <v>100</v>
      </c>
      <c r="B6" t="s">
        <v>87</v>
      </c>
    </row>
    <row r="7" spans="1:2">
      <c r="A7" t="s">
        <v>60</v>
      </c>
      <c r="B7" t="s">
        <v>54</v>
      </c>
    </row>
    <row r="8" spans="1:2">
      <c r="A8" t="s">
        <v>74</v>
      </c>
      <c r="B8" t="s">
        <v>71</v>
      </c>
    </row>
    <row r="9" spans="1:2">
      <c r="A9" t="s">
        <v>94</v>
      </c>
      <c r="B9" t="s">
        <v>92</v>
      </c>
    </row>
    <row r="10" spans="1:2">
      <c r="A10" t="s">
        <v>125</v>
      </c>
      <c r="B10" t="s">
        <v>92</v>
      </c>
    </row>
    <row r="11" spans="1:2">
      <c r="A11" t="s">
        <v>121</v>
      </c>
      <c r="B11" t="s">
        <v>119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7.7109375" customWidth="1"/>
  </cols>
  <sheetData>
    <row r="1" spans="1:2">
      <c r="A1" t="s">
        <v>31</v>
      </c>
      <c r="B1" t="s">
        <v>501</v>
      </c>
    </row>
    <row r="2" spans="1:2">
      <c r="A2" t="s">
        <v>87</v>
      </c>
      <c r="B2">
        <v>14</v>
      </c>
    </row>
    <row r="3" spans="1:2">
      <c r="A3" t="s">
        <v>63</v>
      </c>
      <c r="B3">
        <v>12</v>
      </c>
    </row>
    <row r="4" spans="1:2">
      <c r="A4" t="s">
        <v>71</v>
      </c>
      <c r="B4">
        <v>10</v>
      </c>
    </row>
    <row r="5" spans="1:2">
      <c r="A5" t="s">
        <v>409</v>
      </c>
      <c r="B5">
        <v>9</v>
      </c>
    </row>
    <row r="6" spans="1:2">
      <c r="A6" t="s">
        <v>92</v>
      </c>
      <c r="B6">
        <v>8</v>
      </c>
    </row>
    <row r="7" spans="1:2">
      <c r="A7" t="s">
        <v>119</v>
      </c>
      <c r="B7">
        <v>8</v>
      </c>
    </row>
    <row r="8" spans="1:2">
      <c r="A8" t="s">
        <v>54</v>
      </c>
      <c r="B8">
        <v>7</v>
      </c>
    </row>
    <row r="9" spans="1:2">
      <c r="A9" t="s">
        <v>150</v>
      </c>
      <c r="B9">
        <v>6</v>
      </c>
    </row>
    <row r="10" spans="1:2">
      <c r="A10" t="s">
        <v>422</v>
      </c>
      <c r="B10">
        <v>3</v>
      </c>
    </row>
    <row r="11" spans="1:2">
      <c r="A11" t="s">
        <v>451</v>
      </c>
      <c r="B11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</cols>
  <sheetData>
    <row r="1" spans="1:2">
      <c r="A1" t="s">
        <v>40</v>
      </c>
      <c r="B1" t="s">
        <v>501</v>
      </c>
    </row>
    <row r="2" spans="1:2">
      <c r="A2" t="s">
        <v>100</v>
      </c>
      <c r="B2">
        <v>12</v>
      </c>
    </row>
    <row r="3" spans="1:2">
      <c r="A3" t="s">
        <v>152</v>
      </c>
      <c r="B3">
        <v>9</v>
      </c>
    </row>
    <row r="4" spans="1:2">
      <c r="A4" t="s">
        <v>82</v>
      </c>
      <c r="B4">
        <v>9</v>
      </c>
    </row>
    <row r="5" spans="1:2">
      <c r="A5" t="s">
        <v>74</v>
      </c>
      <c r="B5">
        <v>9</v>
      </c>
    </row>
    <row r="6" spans="1:2">
      <c r="A6" t="s">
        <v>94</v>
      </c>
      <c r="B6">
        <v>9</v>
      </c>
    </row>
    <row r="7" spans="1:2">
      <c r="A7" t="s">
        <v>60</v>
      </c>
      <c r="B7">
        <v>8</v>
      </c>
    </row>
    <row r="8" spans="1:2">
      <c r="A8" t="s">
        <v>68</v>
      </c>
      <c r="B8">
        <v>8</v>
      </c>
    </row>
    <row r="9" spans="1:2">
      <c r="A9" t="s">
        <v>89</v>
      </c>
      <c r="B9">
        <v>8</v>
      </c>
    </row>
    <row r="10" spans="1:2">
      <c r="A10" t="s">
        <v>125</v>
      </c>
      <c r="B10">
        <v>4</v>
      </c>
    </row>
    <row r="11" spans="1:2">
      <c r="A11" t="s">
        <v>121</v>
      </c>
      <c r="B11">
        <v>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81"/>
  <sheetViews>
    <sheetView workbookViewId="0">
      <pane ySplit="1" topLeftCell="Q2" activePane="bottomLeft" state="frozen"/>
      <selection pane="bottomLeft"/>
    </sheetView>
  </sheetViews>
  <sheetFormatPr defaultRowHeight="15"/>
  <cols>
    <col min="1" max="3" width="11.7109375" customWidth="1"/>
    <col min="4" max="4" width="20.7109375" customWidth="1"/>
    <col min="5" max="5" width="13.7109375" customWidth="1"/>
    <col min="6" max="8" width="11.7109375" customWidth="1"/>
    <col min="9" max="9" width="14.7109375" customWidth="1"/>
    <col min="10" max="10" width="15.7109375" customWidth="1"/>
    <col min="11" max="11" width="19.7109375" customWidth="1"/>
    <col min="12" max="12" width="15.7109375" customWidth="1"/>
    <col min="13" max="13" width="20.7109375" customWidth="1"/>
    <col min="14" max="17" width="11.7109375" customWidth="1"/>
    <col min="18" max="18" width="14.7109375" customWidth="1"/>
    <col min="19" max="19" width="15.7109375" customWidth="1"/>
    <col min="20" max="20" width="19.7109375" customWidth="1"/>
    <col min="21" max="21" width="18.7109375" customWidth="1"/>
    <col min="22" max="22" width="11.7109375" customWidth="1"/>
    <col min="23" max="23" width="12.7109375" customWidth="1"/>
    <col min="24" max="24" width="11.7109375" customWidth="1"/>
    <col min="25" max="25" width="12.7109375" customWidth="1"/>
  </cols>
  <sheetData>
    <row r="1" spans="1: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27</v>
      </c>
    </row>
    <row r="2" spans="1:25">
      <c r="A2" t="s">
        <v>53</v>
      </c>
      <c r="B2" t="s">
        <v>53</v>
      </c>
      <c r="C2" t="s">
        <v>54</v>
      </c>
      <c r="D2" t="s">
        <v>55</v>
      </c>
      <c r="E2" s="3">
        <v>45917</v>
      </c>
      <c r="F2">
        <v>-922.63</v>
      </c>
      <c r="G2" t="s">
        <v>56</v>
      </c>
      <c r="H2" t="s">
        <v>57</v>
      </c>
      <c r="I2" t="s">
        <v>58</v>
      </c>
      <c r="K2" t="s">
        <v>59</v>
      </c>
      <c r="L2" t="s">
        <v>60</v>
      </c>
      <c r="M2" t="s">
        <v>61</v>
      </c>
      <c r="N2" s="3">
        <v>45919</v>
      </c>
      <c r="O2">
        <v>-913.31</v>
      </c>
      <c r="P2" t="s">
        <v>56</v>
      </c>
      <c r="Q2" t="s">
        <v>57</v>
      </c>
      <c r="R2" t="s">
        <v>58</v>
      </c>
      <c r="T2" t="s">
        <v>59</v>
      </c>
      <c r="U2" t="s">
        <v>54</v>
      </c>
      <c r="V2" t="b">
        <v>1</v>
      </c>
      <c r="W2">
        <v>-9.32</v>
      </c>
      <c r="X2">
        <v>-2</v>
      </c>
      <c r="Y2" t="s">
        <v>17</v>
      </c>
    </row>
    <row r="3" spans="1:25">
      <c r="A3" t="s">
        <v>62</v>
      </c>
      <c r="B3" t="s">
        <v>62</v>
      </c>
      <c r="C3" t="s">
        <v>63</v>
      </c>
      <c r="D3" t="s">
        <v>64</v>
      </c>
      <c r="E3" s="3">
        <v>45880</v>
      </c>
      <c r="F3">
        <v>383.52</v>
      </c>
      <c r="G3" t="s">
        <v>56</v>
      </c>
      <c r="H3" t="s">
        <v>65</v>
      </c>
      <c r="I3" t="s">
        <v>58</v>
      </c>
      <c r="J3" t="s">
        <v>66</v>
      </c>
      <c r="K3" t="s">
        <v>67</v>
      </c>
      <c r="L3" t="s">
        <v>68</v>
      </c>
      <c r="M3" t="s">
        <v>69</v>
      </c>
      <c r="N3" s="3">
        <v>45880</v>
      </c>
      <c r="O3">
        <v>383.52</v>
      </c>
      <c r="P3" t="s">
        <v>56</v>
      </c>
      <c r="Q3" t="s">
        <v>65</v>
      </c>
      <c r="R3" t="s">
        <v>58</v>
      </c>
      <c r="S3" t="s">
        <v>66</v>
      </c>
      <c r="T3" t="s">
        <v>67</v>
      </c>
      <c r="U3" t="s">
        <v>63</v>
      </c>
      <c r="V3" t="b">
        <v>1</v>
      </c>
      <c r="W3">
        <v>0</v>
      </c>
      <c r="X3">
        <v>0</v>
      </c>
      <c r="Y3" t="s">
        <v>14</v>
      </c>
    </row>
    <row r="4" spans="1:25">
      <c r="A4" t="s">
        <v>70</v>
      </c>
      <c r="B4" t="s">
        <v>70</v>
      </c>
      <c r="C4" t="s">
        <v>71</v>
      </c>
      <c r="D4" t="s">
        <v>72</v>
      </c>
      <c r="E4" s="3">
        <v>45861</v>
      </c>
      <c r="F4">
        <v>-508.21</v>
      </c>
      <c r="G4" t="s">
        <v>56</v>
      </c>
      <c r="H4" t="s">
        <v>73</v>
      </c>
      <c r="I4" t="s">
        <v>58</v>
      </c>
      <c r="K4" t="s">
        <v>59</v>
      </c>
      <c r="L4" t="s">
        <v>74</v>
      </c>
      <c r="M4" t="s">
        <v>75</v>
      </c>
      <c r="N4" s="3">
        <v>45861</v>
      </c>
      <c r="O4">
        <v>-508.21</v>
      </c>
      <c r="P4" t="s">
        <v>56</v>
      </c>
      <c r="Q4" t="s">
        <v>73</v>
      </c>
      <c r="R4" t="s">
        <v>58</v>
      </c>
      <c r="T4" t="s">
        <v>59</v>
      </c>
      <c r="U4" t="s">
        <v>71</v>
      </c>
      <c r="V4" t="b">
        <v>1</v>
      </c>
      <c r="W4">
        <v>0</v>
      </c>
      <c r="X4">
        <v>0</v>
      </c>
      <c r="Y4" t="s">
        <v>14</v>
      </c>
    </row>
    <row r="5" spans="1:25">
      <c r="A5" t="s">
        <v>76</v>
      </c>
      <c r="B5" t="s">
        <v>76</v>
      </c>
      <c r="C5" t="s">
        <v>63</v>
      </c>
      <c r="D5" t="s">
        <v>64</v>
      </c>
      <c r="E5" s="3">
        <v>45917</v>
      </c>
      <c r="F5">
        <v>-601.88</v>
      </c>
      <c r="G5" t="s">
        <v>56</v>
      </c>
      <c r="H5" t="s">
        <v>57</v>
      </c>
      <c r="I5" t="s">
        <v>77</v>
      </c>
      <c r="J5" t="s">
        <v>66</v>
      </c>
      <c r="K5" t="s">
        <v>78</v>
      </c>
      <c r="L5" t="s">
        <v>68</v>
      </c>
      <c r="M5" t="s">
        <v>69</v>
      </c>
      <c r="N5" s="3">
        <v>45915</v>
      </c>
      <c r="O5">
        <v>-594.58000000000004</v>
      </c>
      <c r="P5" t="s">
        <v>56</v>
      </c>
      <c r="Q5" t="s">
        <v>57</v>
      </c>
      <c r="R5" t="s">
        <v>77</v>
      </c>
      <c r="S5" t="s">
        <v>66</v>
      </c>
      <c r="T5" t="s">
        <v>78</v>
      </c>
      <c r="U5" t="s">
        <v>63</v>
      </c>
      <c r="V5" t="b">
        <v>1</v>
      </c>
      <c r="W5">
        <v>-7.3</v>
      </c>
      <c r="X5">
        <v>2</v>
      </c>
      <c r="Y5" t="s">
        <v>17</v>
      </c>
    </row>
    <row r="6" spans="1:25">
      <c r="A6" t="s">
        <v>79</v>
      </c>
      <c r="B6" t="s">
        <v>79</v>
      </c>
      <c r="C6" t="s">
        <v>63</v>
      </c>
      <c r="D6" t="s">
        <v>64</v>
      </c>
      <c r="E6" s="3">
        <v>45892</v>
      </c>
      <c r="F6">
        <v>302.77</v>
      </c>
      <c r="G6" t="s">
        <v>56</v>
      </c>
      <c r="H6" t="s">
        <v>80</v>
      </c>
      <c r="I6" t="s">
        <v>77</v>
      </c>
      <c r="J6" t="s">
        <v>81</v>
      </c>
      <c r="K6" t="s">
        <v>59</v>
      </c>
      <c r="L6" t="s">
        <v>82</v>
      </c>
      <c r="M6" t="s">
        <v>83</v>
      </c>
      <c r="N6" s="3">
        <v>45892</v>
      </c>
      <c r="O6">
        <v>302.77</v>
      </c>
      <c r="P6" t="s">
        <v>56</v>
      </c>
      <c r="Q6" t="s">
        <v>80</v>
      </c>
      <c r="R6" t="s">
        <v>77</v>
      </c>
      <c r="S6" t="s">
        <v>81</v>
      </c>
      <c r="T6" t="s">
        <v>59</v>
      </c>
      <c r="U6" t="s">
        <v>63</v>
      </c>
      <c r="V6" t="b">
        <v>1</v>
      </c>
      <c r="W6">
        <v>0</v>
      </c>
      <c r="X6">
        <v>0</v>
      </c>
      <c r="Y6" t="s">
        <v>14</v>
      </c>
    </row>
    <row r="7" spans="1:25">
      <c r="A7" t="s">
        <v>84</v>
      </c>
      <c r="B7" t="s">
        <v>84</v>
      </c>
      <c r="C7" t="s">
        <v>63</v>
      </c>
      <c r="D7" t="s">
        <v>64</v>
      </c>
      <c r="E7" s="3">
        <v>45893</v>
      </c>
      <c r="F7">
        <v>-500.52</v>
      </c>
      <c r="G7" t="s">
        <v>56</v>
      </c>
      <c r="H7" t="s">
        <v>65</v>
      </c>
      <c r="I7" t="s">
        <v>58</v>
      </c>
      <c r="J7" t="s">
        <v>85</v>
      </c>
      <c r="K7" t="s">
        <v>59</v>
      </c>
      <c r="L7" t="s">
        <v>68</v>
      </c>
      <c r="M7" t="s">
        <v>69</v>
      </c>
      <c r="N7" s="3">
        <v>45893</v>
      </c>
      <c r="O7">
        <v>-500.52</v>
      </c>
      <c r="P7" t="s">
        <v>56</v>
      </c>
      <c r="Q7" t="s">
        <v>65</v>
      </c>
      <c r="R7" t="s">
        <v>58</v>
      </c>
      <c r="S7" t="s">
        <v>85</v>
      </c>
      <c r="T7" t="s">
        <v>59</v>
      </c>
      <c r="U7" t="s">
        <v>63</v>
      </c>
      <c r="V7" t="b">
        <v>1</v>
      </c>
      <c r="W7">
        <v>0</v>
      </c>
      <c r="X7">
        <v>0</v>
      </c>
      <c r="Y7" t="s">
        <v>14</v>
      </c>
    </row>
    <row r="8" spans="1:25">
      <c r="A8" t="s">
        <v>86</v>
      </c>
      <c r="B8" t="s">
        <v>86</v>
      </c>
      <c r="C8" t="s">
        <v>87</v>
      </c>
      <c r="D8" t="s">
        <v>88</v>
      </c>
      <c r="E8" s="3">
        <v>45880</v>
      </c>
      <c r="F8">
        <v>-499.78</v>
      </c>
      <c r="G8" t="s">
        <v>56</v>
      </c>
      <c r="H8" t="s">
        <v>57</v>
      </c>
      <c r="I8" t="s">
        <v>58</v>
      </c>
      <c r="J8" t="s">
        <v>85</v>
      </c>
      <c r="K8" t="s">
        <v>78</v>
      </c>
      <c r="L8" t="s">
        <v>89</v>
      </c>
      <c r="M8" t="s">
        <v>90</v>
      </c>
      <c r="N8" s="3">
        <v>45880</v>
      </c>
      <c r="O8">
        <v>-499.78</v>
      </c>
      <c r="P8" t="s">
        <v>56</v>
      </c>
      <c r="Q8" t="s">
        <v>57</v>
      </c>
      <c r="R8" t="s">
        <v>58</v>
      </c>
      <c r="S8" t="s">
        <v>85</v>
      </c>
      <c r="T8" t="s">
        <v>78</v>
      </c>
      <c r="U8" t="s">
        <v>87</v>
      </c>
      <c r="V8" t="b">
        <v>1</v>
      </c>
      <c r="W8">
        <v>0</v>
      </c>
      <c r="X8">
        <v>0</v>
      </c>
      <c r="Y8" t="s">
        <v>14</v>
      </c>
    </row>
    <row r="9" spans="1:25">
      <c r="A9" t="s">
        <v>91</v>
      </c>
      <c r="B9" t="s">
        <v>91</v>
      </c>
      <c r="C9" t="s">
        <v>92</v>
      </c>
      <c r="D9" t="s">
        <v>93</v>
      </c>
      <c r="E9" s="3">
        <v>45900</v>
      </c>
      <c r="F9">
        <v>61.32</v>
      </c>
      <c r="G9" t="s">
        <v>56</v>
      </c>
      <c r="H9" t="s">
        <v>80</v>
      </c>
      <c r="I9" t="s">
        <v>77</v>
      </c>
      <c r="J9" t="s">
        <v>85</v>
      </c>
      <c r="K9" t="s">
        <v>67</v>
      </c>
      <c r="L9" t="s">
        <v>94</v>
      </c>
      <c r="M9" t="s">
        <v>95</v>
      </c>
      <c r="N9" s="3">
        <v>45900</v>
      </c>
      <c r="O9">
        <v>61.32</v>
      </c>
      <c r="P9" t="s">
        <v>56</v>
      </c>
      <c r="Q9" t="s">
        <v>80</v>
      </c>
      <c r="R9" t="s">
        <v>77</v>
      </c>
      <c r="S9" t="s">
        <v>85</v>
      </c>
      <c r="T9" t="s">
        <v>67</v>
      </c>
      <c r="U9" t="s">
        <v>92</v>
      </c>
      <c r="V9" t="b">
        <v>1</v>
      </c>
      <c r="W9">
        <v>0</v>
      </c>
      <c r="X9">
        <v>0</v>
      </c>
      <c r="Y9" t="s">
        <v>14</v>
      </c>
    </row>
    <row r="10" spans="1:25">
      <c r="A10" t="s">
        <v>96</v>
      </c>
      <c r="B10" t="s">
        <v>96</v>
      </c>
      <c r="C10" t="s">
        <v>54</v>
      </c>
      <c r="D10" t="s">
        <v>55</v>
      </c>
      <c r="E10" s="3">
        <v>45876</v>
      </c>
      <c r="F10">
        <v>-754.41</v>
      </c>
      <c r="G10" t="s">
        <v>56</v>
      </c>
      <c r="H10" t="s">
        <v>65</v>
      </c>
      <c r="I10" t="s">
        <v>97</v>
      </c>
      <c r="J10" t="s">
        <v>66</v>
      </c>
      <c r="K10" t="s">
        <v>59</v>
      </c>
      <c r="L10" t="s">
        <v>60</v>
      </c>
      <c r="M10" t="s">
        <v>61</v>
      </c>
      <c r="N10" s="3">
        <v>45876</v>
      </c>
      <c r="O10">
        <v>-754.41</v>
      </c>
      <c r="P10" t="s">
        <v>56</v>
      </c>
      <c r="Q10" t="s">
        <v>65</v>
      </c>
      <c r="R10" t="s">
        <v>97</v>
      </c>
      <c r="S10" t="s">
        <v>66</v>
      </c>
      <c r="T10" t="s">
        <v>59</v>
      </c>
      <c r="U10" t="s">
        <v>54</v>
      </c>
      <c r="V10" t="b">
        <v>1</v>
      </c>
      <c r="W10">
        <v>0</v>
      </c>
      <c r="X10">
        <v>0</v>
      </c>
      <c r="Y10" t="s">
        <v>14</v>
      </c>
    </row>
    <row r="11" spans="1:25">
      <c r="A11" t="s">
        <v>98</v>
      </c>
      <c r="B11" t="s">
        <v>98</v>
      </c>
      <c r="C11" t="s">
        <v>87</v>
      </c>
      <c r="D11" t="s">
        <v>88</v>
      </c>
      <c r="E11" s="3">
        <v>45890</v>
      </c>
      <c r="F11">
        <v>650.12</v>
      </c>
      <c r="G11" t="s">
        <v>56</v>
      </c>
      <c r="H11" t="s">
        <v>80</v>
      </c>
      <c r="I11" t="s">
        <v>77</v>
      </c>
      <c r="J11" t="s">
        <v>99</v>
      </c>
      <c r="K11" t="s">
        <v>59</v>
      </c>
      <c r="L11" t="s">
        <v>100</v>
      </c>
      <c r="M11" t="s">
        <v>101</v>
      </c>
      <c r="N11" s="3">
        <v>45891</v>
      </c>
      <c r="O11">
        <v>649.16999999999996</v>
      </c>
      <c r="P11" t="s">
        <v>56</v>
      </c>
      <c r="Q11" t="s">
        <v>80</v>
      </c>
      <c r="R11" t="s">
        <v>77</v>
      </c>
      <c r="S11" t="s">
        <v>99</v>
      </c>
      <c r="T11" t="s">
        <v>59</v>
      </c>
      <c r="U11" t="s">
        <v>87</v>
      </c>
      <c r="V11" t="b">
        <v>1</v>
      </c>
      <c r="W11">
        <v>0.95</v>
      </c>
      <c r="X11">
        <v>-1</v>
      </c>
      <c r="Y11" t="s">
        <v>15</v>
      </c>
    </row>
    <row r="12" spans="1:25">
      <c r="A12" t="s">
        <v>102</v>
      </c>
      <c r="B12" t="s">
        <v>102</v>
      </c>
      <c r="C12" t="s">
        <v>63</v>
      </c>
      <c r="D12" t="s">
        <v>64</v>
      </c>
      <c r="E12" s="3">
        <v>45864</v>
      </c>
      <c r="F12">
        <v>343.64</v>
      </c>
      <c r="G12" t="s">
        <v>56</v>
      </c>
      <c r="H12" t="s">
        <v>65</v>
      </c>
      <c r="I12" t="s">
        <v>103</v>
      </c>
      <c r="J12" t="s">
        <v>81</v>
      </c>
      <c r="K12" t="s">
        <v>67</v>
      </c>
      <c r="L12" t="s">
        <v>68</v>
      </c>
      <c r="M12" t="s">
        <v>69</v>
      </c>
      <c r="N12" s="3">
        <v>45865</v>
      </c>
      <c r="O12">
        <v>343.79</v>
      </c>
      <c r="P12" t="s">
        <v>56</v>
      </c>
      <c r="Q12" t="s">
        <v>65</v>
      </c>
      <c r="R12" t="s">
        <v>103</v>
      </c>
      <c r="S12" t="s">
        <v>81</v>
      </c>
      <c r="T12" t="s">
        <v>67</v>
      </c>
      <c r="U12" t="s">
        <v>63</v>
      </c>
      <c r="V12" t="b">
        <v>1</v>
      </c>
      <c r="W12">
        <v>-0.15</v>
      </c>
      <c r="X12">
        <v>-1</v>
      </c>
      <c r="Y12" t="s">
        <v>15</v>
      </c>
    </row>
    <row r="13" spans="1:25">
      <c r="A13" t="s">
        <v>104</v>
      </c>
      <c r="B13" t="s">
        <v>104</v>
      </c>
      <c r="C13" t="s">
        <v>71</v>
      </c>
      <c r="D13" t="s">
        <v>72</v>
      </c>
      <c r="E13" s="3">
        <v>45859</v>
      </c>
      <c r="F13">
        <v>457.11</v>
      </c>
      <c r="G13" t="s">
        <v>56</v>
      </c>
      <c r="H13" t="s">
        <v>57</v>
      </c>
      <c r="I13" t="s">
        <v>103</v>
      </c>
      <c r="J13" t="s">
        <v>99</v>
      </c>
      <c r="K13" t="s">
        <v>105</v>
      </c>
      <c r="L13" t="s">
        <v>74</v>
      </c>
      <c r="M13" t="s">
        <v>75</v>
      </c>
      <c r="N13" s="3">
        <v>45859</v>
      </c>
      <c r="O13">
        <v>457.11</v>
      </c>
      <c r="P13" t="s">
        <v>56</v>
      </c>
      <c r="Q13" t="s">
        <v>57</v>
      </c>
      <c r="R13" t="s">
        <v>103</v>
      </c>
      <c r="S13" t="s">
        <v>99</v>
      </c>
      <c r="T13" t="s">
        <v>105</v>
      </c>
      <c r="U13" t="s">
        <v>71</v>
      </c>
      <c r="V13" t="b">
        <v>1</v>
      </c>
      <c r="W13">
        <v>0</v>
      </c>
      <c r="X13">
        <v>0</v>
      </c>
      <c r="Y13" t="s">
        <v>14</v>
      </c>
    </row>
    <row r="14" spans="1:25">
      <c r="A14" t="s">
        <v>106</v>
      </c>
      <c r="B14" t="s">
        <v>106</v>
      </c>
      <c r="C14" t="s">
        <v>54</v>
      </c>
      <c r="D14" t="s">
        <v>55</v>
      </c>
      <c r="E14" s="3">
        <v>45895</v>
      </c>
      <c r="F14">
        <v>626.32000000000005</v>
      </c>
      <c r="G14" t="s">
        <v>56</v>
      </c>
      <c r="H14" t="s">
        <v>73</v>
      </c>
      <c r="I14" t="s">
        <v>58</v>
      </c>
      <c r="K14" t="s">
        <v>107</v>
      </c>
      <c r="L14" t="s">
        <v>60</v>
      </c>
      <c r="M14" t="s">
        <v>61</v>
      </c>
      <c r="N14" s="3">
        <v>45895</v>
      </c>
      <c r="O14">
        <v>626.32000000000005</v>
      </c>
      <c r="P14" t="s">
        <v>56</v>
      </c>
      <c r="Q14" t="s">
        <v>73</v>
      </c>
      <c r="R14" t="s">
        <v>58</v>
      </c>
      <c r="T14" t="s">
        <v>107</v>
      </c>
      <c r="U14" t="s">
        <v>54</v>
      </c>
      <c r="V14" t="b">
        <v>1</v>
      </c>
      <c r="W14">
        <v>0</v>
      </c>
      <c r="X14">
        <v>0</v>
      </c>
      <c r="Y14" t="s">
        <v>14</v>
      </c>
    </row>
    <row r="15" spans="1:25">
      <c r="A15" t="s">
        <v>108</v>
      </c>
      <c r="B15" t="s">
        <v>108</v>
      </c>
      <c r="C15" t="s">
        <v>87</v>
      </c>
      <c r="D15" t="s">
        <v>88</v>
      </c>
      <c r="E15" s="3">
        <v>45887</v>
      </c>
      <c r="F15">
        <v>434.66</v>
      </c>
      <c r="G15" t="s">
        <v>56</v>
      </c>
      <c r="H15" t="s">
        <v>57</v>
      </c>
      <c r="I15" t="s">
        <v>58</v>
      </c>
      <c r="J15" t="s">
        <v>109</v>
      </c>
      <c r="K15" t="s">
        <v>105</v>
      </c>
      <c r="L15" t="s">
        <v>100</v>
      </c>
      <c r="M15" t="s">
        <v>101</v>
      </c>
      <c r="N15" s="3">
        <v>45890</v>
      </c>
      <c r="O15">
        <v>446.39</v>
      </c>
      <c r="P15" t="s">
        <v>56</v>
      </c>
      <c r="Q15" t="s">
        <v>57</v>
      </c>
      <c r="R15" t="s">
        <v>58</v>
      </c>
      <c r="S15" t="s">
        <v>109</v>
      </c>
      <c r="T15" t="s">
        <v>105</v>
      </c>
      <c r="U15" t="s">
        <v>87</v>
      </c>
      <c r="V15" t="b">
        <v>1</v>
      </c>
      <c r="W15">
        <v>-11.73</v>
      </c>
      <c r="X15">
        <v>-3</v>
      </c>
      <c r="Y15" t="s">
        <v>17</v>
      </c>
    </row>
    <row r="16" spans="1:25">
      <c r="A16" t="s">
        <v>110</v>
      </c>
      <c r="B16" t="s">
        <v>110</v>
      </c>
      <c r="C16" t="s">
        <v>87</v>
      </c>
      <c r="D16" t="s">
        <v>88</v>
      </c>
      <c r="E16" s="3">
        <v>45898</v>
      </c>
      <c r="F16">
        <v>439.31</v>
      </c>
      <c r="G16" t="s">
        <v>56</v>
      </c>
      <c r="H16" t="s">
        <v>73</v>
      </c>
      <c r="I16" t="s">
        <v>103</v>
      </c>
      <c r="J16" t="s">
        <v>109</v>
      </c>
      <c r="K16" t="s">
        <v>67</v>
      </c>
      <c r="L16" t="s">
        <v>100</v>
      </c>
      <c r="M16" t="s">
        <v>101</v>
      </c>
      <c r="N16" s="3">
        <v>45898</v>
      </c>
      <c r="O16">
        <v>439.31</v>
      </c>
      <c r="P16" t="s">
        <v>56</v>
      </c>
      <c r="Q16" t="s">
        <v>73</v>
      </c>
      <c r="R16" t="s">
        <v>103</v>
      </c>
      <c r="S16" t="s">
        <v>109</v>
      </c>
      <c r="T16" t="s">
        <v>67</v>
      </c>
      <c r="U16" t="s">
        <v>87</v>
      </c>
      <c r="V16" t="b">
        <v>1</v>
      </c>
      <c r="W16">
        <v>0</v>
      </c>
      <c r="X16">
        <v>0</v>
      </c>
      <c r="Y16" t="s">
        <v>14</v>
      </c>
    </row>
    <row r="17" spans="1:25">
      <c r="A17" t="s">
        <v>111</v>
      </c>
      <c r="B17" t="s">
        <v>111</v>
      </c>
      <c r="C17" t="s">
        <v>54</v>
      </c>
      <c r="D17" t="s">
        <v>55</v>
      </c>
      <c r="E17" s="3">
        <v>45858</v>
      </c>
      <c r="F17">
        <v>136.69</v>
      </c>
      <c r="G17" t="s">
        <v>56</v>
      </c>
      <c r="H17" t="s">
        <v>80</v>
      </c>
      <c r="I17" t="s">
        <v>97</v>
      </c>
      <c r="J17" t="s">
        <v>85</v>
      </c>
      <c r="K17" t="s">
        <v>107</v>
      </c>
      <c r="L17" t="s">
        <v>60</v>
      </c>
      <c r="M17" t="s">
        <v>61</v>
      </c>
      <c r="N17" s="3">
        <v>45858</v>
      </c>
      <c r="O17">
        <v>136.69</v>
      </c>
      <c r="P17" t="s">
        <v>56</v>
      </c>
      <c r="Q17" t="s">
        <v>80</v>
      </c>
      <c r="R17" t="s">
        <v>97</v>
      </c>
      <c r="S17" t="s">
        <v>85</v>
      </c>
      <c r="T17" t="s">
        <v>107</v>
      </c>
      <c r="U17" t="s">
        <v>54</v>
      </c>
      <c r="V17" t="b">
        <v>1</v>
      </c>
      <c r="W17">
        <v>0</v>
      </c>
      <c r="X17">
        <v>0</v>
      </c>
      <c r="Y17" t="s">
        <v>14</v>
      </c>
    </row>
    <row r="18" spans="1:25">
      <c r="A18" t="s">
        <v>112</v>
      </c>
      <c r="B18" t="s">
        <v>112</v>
      </c>
      <c r="C18" t="s">
        <v>92</v>
      </c>
      <c r="D18" t="s">
        <v>93</v>
      </c>
      <c r="E18" s="3">
        <v>45860</v>
      </c>
      <c r="F18">
        <v>-638.65</v>
      </c>
      <c r="G18" t="s">
        <v>56</v>
      </c>
      <c r="H18" t="s">
        <v>80</v>
      </c>
      <c r="I18" t="s">
        <v>97</v>
      </c>
      <c r="J18" t="s">
        <v>109</v>
      </c>
      <c r="K18" t="s">
        <v>78</v>
      </c>
      <c r="L18" t="s">
        <v>94</v>
      </c>
      <c r="M18" t="s">
        <v>95</v>
      </c>
      <c r="N18" s="3">
        <v>45859</v>
      </c>
      <c r="O18">
        <v>-631.24</v>
      </c>
      <c r="P18" t="s">
        <v>56</v>
      </c>
      <c r="Q18" t="s">
        <v>80</v>
      </c>
      <c r="R18" t="s">
        <v>97</v>
      </c>
      <c r="S18" t="s">
        <v>109</v>
      </c>
      <c r="T18" t="s">
        <v>78</v>
      </c>
      <c r="U18" t="s">
        <v>92</v>
      </c>
      <c r="V18" t="b">
        <v>1</v>
      </c>
      <c r="W18">
        <v>-7.41</v>
      </c>
      <c r="X18">
        <v>1</v>
      </c>
      <c r="Y18" t="s">
        <v>17</v>
      </c>
    </row>
    <row r="19" spans="1:25">
      <c r="A19" t="s">
        <v>113</v>
      </c>
      <c r="B19" t="s">
        <v>113</v>
      </c>
      <c r="C19" t="s">
        <v>71</v>
      </c>
      <c r="D19" t="s">
        <v>72</v>
      </c>
      <c r="E19" s="3">
        <v>45882</v>
      </c>
      <c r="F19">
        <v>530.97</v>
      </c>
      <c r="G19" t="s">
        <v>56</v>
      </c>
      <c r="H19" t="s">
        <v>73</v>
      </c>
      <c r="I19" t="s">
        <v>58</v>
      </c>
      <c r="J19" t="s">
        <v>81</v>
      </c>
      <c r="K19" t="s">
        <v>67</v>
      </c>
      <c r="L19" t="s">
        <v>74</v>
      </c>
      <c r="M19" t="s">
        <v>75</v>
      </c>
      <c r="N19" s="3">
        <v>45882</v>
      </c>
      <c r="O19">
        <v>530.97</v>
      </c>
      <c r="P19" t="s">
        <v>56</v>
      </c>
      <c r="Q19" t="s">
        <v>73</v>
      </c>
      <c r="R19" t="s">
        <v>58</v>
      </c>
      <c r="S19" t="s">
        <v>81</v>
      </c>
      <c r="T19" t="s">
        <v>67</v>
      </c>
      <c r="U19" t="s">
        <v>71</v>
      </c>
      <c r="V19" t="b">
        <v>1</v>
      </c>
      <c r="W19">
        <v>0</v>
      </c>
      <c r="X19">
        <v>0</v>
      </c>
      <c r="Y19" t="s">
        <v>14</v>
      </c>
    </row>
    <row r="20" spans="1:25">
      <c r="A20" t="s">
        <v>114</v>
      </c>
      <c r="B20" t="s">
        <v>114</v>
      </c>
      <c r="C20" t="s">
        <v>71</v>
      </c>
      <c r="D20" t="s">
        <v>72</v>
      </c>
      <c r="E20" s="3">
        <v>45892</v>
      </c>
      <c r="F20">
        <v>-568.61</v>
      </c>
      <c r="G20" t="s">
        <v>56</v>
      </c>
      <c r="H20" t="s">
        <v>65</v>
      </c>
      <c r="I20" t="s">
        <v>77</v>
      </c>
      <c r="K20" t="s">
        <v>59</v>
      </c>
      <c r="L20" t="s">
        <v>74</v>
      </c>
      <c r="M20" t="s">
        <v>75</v>
      </c>
      <c r="N20" s="3">
        <v>45892</v>
      </c>
      <c r="O20">
        <v>-568.61</v>
      </c>
      <c r="P20" t="s">
        <v>56</v>
      </c>
      <c r="Q20" t="s">
        <v>65</v>
      </c>
      <c r="R20" t="s">
        <v>77</v>
      </c>
      <c r="T20" t="s">
        <v>59</v>
      </c>
      <c r="U20" t="s">
        <v>71</v>
      </c>
      <c r="V20" t="b">
        <v>1</v>
      </c>
      <c r="W20">
        <v>0</v>
      </c>
      <c r="X20">
        <v>0</v>
      </c>
      <c r="Y20" t="s">
        <v>14</v>
      </c>
    </row>
    <row r="21" spans="1:25">
      <c r="A21" t="s">
        <v>115</v>
      </c>
      <c r="B21" t="s">
        <v>115</v>
      </c>
      <c r="C21" t="s">
        <v>87</v>
      </c>
      <c r="D21" t="s">
        <v>88</v>
      </c>
      <c r="E21" s="3">
        <v>45902</v>
      </c>
      <c r="F21">
        <v>118.37</v>
      </c>
      <c r="G21" t="s">
        <v>56</v>
      </c>
      <c r="H21" t="s">
        <v>80</v>
      </c>
      <c r="I21" t="s">
        <v>77</v>
      </c>
      <c r="J21" t="s">
        <v>81</v>
      </c>
      <c r="K21" t="s">
        <v>78</v>
      </c>
      <c r="L21" t="s">
        <v>100</v>
      </c>
      <c r="M21" t="s">
        <v>101</v>
      </c>
      <c r="N21" s="3">
        <v>45902</v>
      </c>
      <c r="O21">
        <v>118.37</v>
      </c>
      <c r="P21" t="s">
        <v>56</v>
      </c>
      <c r="Q21" t="s">
        <v>80</v>
      </c>
      <c r="R21" t="s">
        <v>77</v>
      </c>
      <c r="S21" t="s">
        <v>81</v>
      </c>
      <c r="T21" t="s">
        <v>78</v>
      </c>
      <c r="U21" t="s">
        <v>87</v>
      </c>
      <c r="V21" t="b">
        <v>1</v>
      </c>
      <c r="W21">
        <v>0</v>
      </c>
      <c r="X21">
        <v>0</v>
      </c>
      <c r="Y21" t="s">
        <v>14</v>
      </c>
    </row>
    <row r="22" spans="1:25">
      <c r="A22" t="s">
        <v>116</v>
      </c>
      <c r="B22" t="s">
        <v>116</v>
      </c>
      <c r="C22" t="s">
        <v>63</v>
      </c>
      <c r="D22" t="s">
        <v>64</v>
      </c>
      <c r="E22" s="3">
        <v>45868</v>
      </c>
      <c r="F22">
        <v>-912.67</v>
      </c>
      <c r="G22" t="s">
        <v>56</v>
      </c>
      <c r="H22" t="s">
        <v>65</v>
      </c>
      <c r="I22" t="s">
        <v>58</v>
      </c>
      <c r="J22" t="s">
        <v>117</v>
      </c>
      <c r="L22" t="s">
        <v>68</v>
      </c>
      <c r="M22" t="s">
        <v>69</v>
      </c>
      <c r="N22" s="3">
        <v>45870</v>
      </c>
      <c r="O22">
        <v>-912.71</v>
      </c>
      <c r="P22" t="s">
        <v>56</v>
      </c>
      <c r="Q22" t="s">
        <v>65</v>
      </c>
      <c r="R22" t="s">
        <v>58</v>
      </c>
      <c r="S22" t="s">
        <v>117</v>
      </c>
      <c r="U22" t="s">
        <v>63</v>
      </c>
      <c r="V22" t="b">
        <v>1</v>
      </c>
      <c r="W22">
        <v>0.04</v>
      </c>
      <c r="X22">
        <v>-2</v>
      </c>
      <c r="Y22" t="s">
        <v>15</v>
      </c>
    </row>
    <row r="23" spans="1:25">
      <c r="A23" t="s">
        <v>118</v>
      </c>
      <c r="B23" t="s">
        <v>118</v>
      </c>
      <c r="C23" t="s">
        <v>119</v>
      </c>
      <c r="D23" t="s">
        <v>120</v>
      </c>
      <c r="E23" s="3">
        <v>45868</v>
      </c>
      <c r="F23">
        <v>-538.58000000000004</v>
      </c>
      <c r="G23" t="s">
        <v>56</v>
      </c>
      <c r="H23" t="s">
        <v>57</v>
      </c>
      <c r="I23" t="s">
        <v>97</v>
      </c>
      <c r="J23" t="s">
        <v>117</v>
      </c>
      <c r="K23" t="s">
        <v>59</v>
      </c>
      <c r="L23" t="s">
        <v>121</v>
      </c>
      <c r="M23" t="s">
        <v>122</v>
      </c>
      <c r="N23" s="3">
        <v>45868</v>
      </c>
      <c r="O23">
        <v>-538.58000000000004</v>
      </c>
      <c r="P23" t="s">
        <v>56</v>
      </c>
      <c r="Q23" t="s">
        <v>57</v>
      </c>
      <c r="R23" t="s">
        <v>97</v>
      </c>
      <c r="S23" t="s">
        <v>117</v>
      </c>
      <c r="T23" t="s">
        <v>59</v>
      </c>
      <c r="U23" t="s">
        <v>119</v>
      </c>
      <c r="V23" t="b">
        <v>1</v>
      </c>
      <c r="W23">
        <v>0</v>
      </c>
      <c r="X23">
        <v>0</v>
      </c>
      <c r="Y23" t="s">
        <v>14</v>
      </c>
    </row>
    <row r="24" spans="1:25">
      <c r="A24" t="s">
        <v>123</v>
      </c>
      <c r="B24" t="s">
        <v>123</v>
      </c>
      <c r="C24" t="s">
        <v>54</v>
      </c>
      <c r="D24" t="s">
        <v>55</v>
      </c>
      <c r="E24" s="3">
        <v>45896</v>
      </c>
      <c r="F24">
        <v>403.22</v>
      </c>
      <c r="G24" t="s">
        <v>56</v>
      </c>
      <c r="H24" t="s">
        <v>65</v>
      </c>
      <c r="I24" t="s">
        <v>58</v>
      </c>
      <c r="J24" t="s">
        <v>117</v>
      </c>
      <c r="L24" t="s">
        <v>60</v>
      </c>
      <c r="M24" t="s">
        <v>61</v>
      </c>
      <c r="N24" s="3">
        <v>45896</v>
      </c>
      <c r="O24">
        <v>403.22</v>
      </c>
      <c r="P24" t="s">
        <v>56</v>
      </c>
      <c r="Q24" t="s">
        <v>65</v>
      </c>
      <c r="R24" t="s">
        <v>58</v>
      </c>
      <c r="S24" t="s">
        <v>117</v>
      </c>
      <c r="U24" t="s">
        <v>54</v>
      </c>
      <c r="V24" t="b">
        <v>1</v>
      </c>
      <c r="W24">
        <v>0</v>
      </c>
      <c r="X24">
        <v>0</v>
      </c>
      <c r="Y24" t="s">
        <v>14</v>
      </c>
    </row>
    <row r="25" spans="1:25">
      <c r="A25" t="s">
        <v>124</v>
      </c>
      <c r="B25" t="s">
        <v>124</v>
      </c>
      <c r="C25" t="s">
        <v>92</v>
      </c>
      <c r="D25" t="s">
        <v>93</v>
      </c>
      <c r="E25" s="3">
        <v>45882</v>
      </c>
      <c r="F25">
        <v>-1007.27</v>
      </c>
      <c r="G25" t="s">
        <v>56</v>
      </c>
      <c r="H25" t="s">
        <v>73</v>
      </c>
      <c r="I25" t="s">
        <v>58</v>
      </c>
      <c r="J25" t="s">
        <v>117</v>
      </c>
      <c r="K25" t="s">
        <v>105</v>
      </c>
      <c r="L25" t="s">
        <v>125</v>
      </c>
      <c r="M25" t="s">
        <v>126</v>
      </c>
      <c r="N25" s="3">
        <v>45882</v>
      </c>
      <c r="O25">
        <v>-1006.43</v>
      </c>
      <c r="P25" t="s">
        <v>56</v>
      </c>
      <c r="Q25" t="s">
        <v>73</v>
      </c>
      <c r="R25" t="s">
        <v>58</v>
      </c>
      <c r="S25" t="s">
        <v>117</v>
      </c>
      <c r="T25" t="s">
        <v>105</v>
      </c>
      <c r="U25" t="s">
        <v>92</v>
      </c>
      <c r="V25" t="b">
        <v>1</v>
      </c>
      <c r="W25">
        <v>-0.84</v>
      </c>
      <c r="X25">
        <v>0</v>
      </c>
      <c r="Y25" t="s">
        <v>15</v>
      </c>
    </row>
    <row r="26" spans="1:25">
      <c r="A26" t="s">
        <v>127</v>
      </c>
      <c r="B26" t="s">
        <v>127</v>
      </c>
      <c r="C26" t="s">
        <v>71</v>
      </c>
      <c r="D26" t="s">
        <v>72</v>
      </c>
      <c r="E26" s="3">
        <v>45860</v>
      </c>
      <c r="F26">
        <v>-488.65</v>
      </c>
      <c r="G26" t="s">
        <v>56</v>
      </c>
      <c r="H26" t="s">
        <v>65</v>
      </c>
      <c r="I26" t="s">
        <v>77</v>
      </c>
      <c r="J26" t="s">
        <v>81</v>
      </c>
      <c r="K26" t="s">
        <v>107</v>
      </c>
      <c r="L26" t="s">
        <v>74</v>
      </c>
      <c r="M26" t="s">
        <v>75</v>
      </c>
      <c r="N26" s="3">
        <v>45861</v>
      </c>
      <c r="O26">
        <v>-489.4</v>
      </c>
      <c r="P26" t="s">
        <v>56</v>
      </c>
      <c r="Q26" t="s">
        <v>65</v>
      </c>
      <c r="R26" t="s">
        <v>77</v>
      </c>
      <c r="S26" t="s">
        <v>81</v>
      </c>
      <c r="T26" t="s">
        <v>107</v>
      </c>
      <c r="U26" t="s">
        <v>71</v>
      </c>
      <c r="V26" t="b">
        <v>1</v>
      </c>
      <c r="W26">
        <v>0.75</v>
      </c>
      <c r="X26">
        <v>-1</v>
      </c>
      <c r="Y26" t="s">
        <v>15</v>
      </c>
    </row>
    <row r="27" spans="1:25">
      <c r="A27" t="s">
        <v>128</v>
      </c>
      <c r="B27" t="s">
        <v>128</v>
      </c>
      <c r="C27" t="s">
        <v>54</v>
      </c>
      <c r="D27" t="s">
        <v>55</v>
      </c>
      <c r="E27" s="3">
        <v>45895</v>
      </c>
      <c r="F27">
        <v>-137.33000000000001</v>
      </c>
      <c r="G27" t="s">
        <v>56</v>
      </c>
      <c r="H27" t="s">
        <v>57</v>
      </c>
      <c r="I27" t="s">
        <v>97</v>
      </c>
      <c r="J27" t="s">
        <v>85</v>
      </c>
      <c r="K27" t="s">
        <v>107</v>
      </c>
      <c r="L27" t="s">
        <v>60</v>
      </c>
      <c r="M27" t="s">
        <v>61</v>
      </c>
      <c r="N27" s="3">
        <v>45895</v>
      </c>
      <c r="O27">
        <v>-137.33000000000001</v>
      </c>
      <c r="P27" t="s">
        <v>56</v>
      </c>
      <c r="Q27" t="s">
        <v>57</v>
      </c>
      <c r="R27" t="s">
        <v>97</v>
      </c>
      <c r="S27" t="s">
        <v>85</v>
      </c>
      <c r="T27" t="s">
        <v>107</v>
      </c>
      <c r="U27" t="s">
        <v>54</v>
      </c>
      <c r="V27" t="b">
        <v>1</v>
      </c>
      <c r="W27">
        <v>0</v>
      </c>
      <c r="X27">
        <v>0</v>
      </c>
      <c r="Y27" t="s">
        <v>14</v>
      </c>
    </row>
    <row r="28" spans="1:25">
      <c r="A28" t="s">
        <v>129</v>
      </c>
      <c r="B28" t="s">
        <v>129</v>
      </c>
      <c r="C28" t="s">
        <v>54</v>
      </c>
      <c r="D28" t="s">
        <v>55</v>
      </c>
      <c r="E28" s="3">
        <v>45896</v>
      </c>
      <c r="F28">
        <v>-398.69</v>
      </c>
      <c r="G28" t="s">
        <v>56</v>
      </c>
      <c r="H28" t="s">
        <v>65</v>
      </c>
      <c r="I28" t="s">
        <v>77</v>
      </c>
      <c r="J28" t="s">
        <v>81</v>
      </c>
      <c r="K28" t="s">
        <v>105</v>
      </c>
      <c r="L28" t="s">
        <v>60</v>
      </c>
      <c r="M28" t="s">
        <v>61</v>
      </c>
      <c r="N28" s="3">
        <v>45896</v>
      </c>
      <c r="O28">
        <v>-398.69</v>
      </c>
      <c r="P28" t="s">
        <v>56</v>
      </c>
      <c r="Q28" t="s">
        <v>65</v>
      </c>
      <c r="R28" t="s">
        <v>77</v>
      </c>
      <c r="S28" t="s">
        <v>81</v>
      </c>
      <c r="T28" t="s">
        <v>105</v>
      </c>
      <c r="U28" t="s">
        <v>54</v>
      </c>
      <c r="V28" t="b">
        <v>1</v>
      </c>
      <c r="W28">
        <v>0</v>
      </c>
      <c r="X28">
        <v>0</v>
      </c>
      <c r="Y28" t="s">
        <v>14</v>
      </c>
    </row>
    <row r="29" spans="1:25">
      <c r="A29" t="s">
        <v>130</v>
      </c>
      <c r="B29" t="s">
        <v>130</v>
      </c>
      <c r="C29" t="s">
        <v>87</v>
      </c>
      <c r="D29" t="s">
        <v>88</v>
      </c>
      <c r="E29" s="3">
        <v>45879</v>
      </c>
      <c r="F29">
        <v>-72.08</v>
      </c>
      <c r="G29" t="s">
        <v>56</v>
      </c>
      <c r="H29" t="s">
        <v>73</v>
      </c>
      <c r="I29" t="s">
        <v>58</v>
      </c>
      <c r="J29" t="s">
        <v>66</v>
      </c>
      <c r="L29" t="s">
        <v>100</v>
      </c>
      <c r="M29" t="s">
        <v>101</v>
      </c>
      <c r="N29" s="3">
        <v>45879</v>
      </c>
      <c r="O29">
        <v>-72.08</v>
      </c>
      <c r="P29" t="s">
        <v>56</v>
      </c>
      <c r="Q29" t="s">
        <v>73</v>
      </c>
      <c r="R29" t="s">
        <v>58</v>
      </c>
      <c r="S29" t="s">
        <v>66</v>
      </c>
      <c r="U29" t="s">
        <v>87</v>
      </c>
      <c r="V29" t="b">
        <v>1</v>
      </c>
      <c r="W29">
        <v>0</v>
      </c>
      <c r="X29">
        <v>0</v>
      </c>
      <c r="Y29" t="s">
        <v>14</v>
      </c>
    </row>
    <row r="30" spans="1:25">
      <c r="A30" t="s">
        <v>131</v>
      </c>
      <c r="B30" t="s">
        <v>131</v>
      </c>
      <c r="C30" t="s">
        <v>92</v>
      </c>
      <c r="D30" t="s">
        <v>93</v>
      </c>
      <c r="E30" s="3">
        <v>45886</v>
      </c>
      <c r="F30">
        <v>762.35</v>
      </c>
      <c r="G30" t="s">
        <v>56</v>
      </c>
      <c r="H30" t="s">
        <v>80</v>
      </c>
      <c r="I30" t="s">
        <v>58</v>
      </c>
      <c r="J30" t="s">
        <v>81</v>
      </c>
      <c r="K30" t="s">
        <v>107</v>
      </c>
      <c r="L30" t="s">
        <v>94</v>
      </c>
      <c r="M30" t="s">
        <v>95</v>
      </c>
      <c r="N30" s="3">
        <v>45886</v>
      </c>
      <c r="O30">
        <v>762.35</v>
      </c>
      <c r="P30" t="s">
        <v>56</v>
      </c>
      <c r="Q30" t="s">
        <v>80</v>
      </c>
      <c r="R30" t="s">
        <v>58</v>
      </c>
      <c r="S30" t="s">
        <v>81</v>
      </c>
      <c r="T30" t="s">
        <v>107</v>
      </c>
      <c r="U30" t="s">
        <v>92</v>
      </c>
      <c r="V30" t="b">
        <v>1</v>
      </c>
      <c r="W30">
        <v>0</v>
      </c>
      <c r="X30">
        <v>0</v>
      </c>
      <c r="Y30" t="s">
        <v>14</v>
      </c>
    </row>
    <row r="31" spans="1:25">
      <c r="A31" t="s">
        <v>132</v>
      </c>
      <c r="B31" t="s">
        <v>132</v>
      </c>
      <c r="C31" t="s">
        <v>54</v>
      </c>
      <c r="D31" t="s">
        <v>55</v>
      </c>
      <c r="E31" s="3">
        <v>45904</v>
      </c>
      <c r="F31">
        <v>-395.88</v>
      </c>
      <c r="G31" t="s">
        <v>56</v>
      </c>
      <c r="H31" t="s">
        <v>65</v>
      </c>
      <c r="I31" t="s">
        <v>58</v>
      </c>
      <c r="J31" t="s">
        <v>81</v>
      </c>
      <c r="K31" t="s">
        <v>59</v>
      </c>
      <c r="L31" t="s">
        <v>60</v>
      </c>
      <c r="M31" t="s">
        <v>61</v>
      </c>
      <c r="N31" s="3">
        <v>45902</v>
      </c>
      <c r="O31">
        <v>-393.87</v>
      </c>
      <c r="P31" t="s">
        <v>56</v>
      </c>
      <c r="Q31" t="s">
        <v>65</v>
      </c>
      <c r="R31" t="s">
        <v>58</v>
      </c>
      <c r="S31" t="s">
        <v>81</v>
      </c>
      <c r="T31" t="s">
        <v>59</v>
      </c>
      <c r="U31" t="s">
        <v>54</v>
      </c>
      <c r="V31" t="b">
        <v>1</v>
      </c>
      <c r="W31">
        <v>-2.0099999999999998</v>
      </c>
      <c r="X31">
        <v>2</v>
      </c>
      <c r="Y31" t="s">
        <v>17</v>
      </c>
    </row>
    <row r="32" spans="1:25">
      <c r="A32" t="s">
        <v>133</v>
      </c>
      <c r="B32" t="s">
        <v>133</v>
      </c>
      <c r="C32" t="s">
        <v>54</v>
      </c>
      <c r="D32" t="s">
        <v>55</v>
      </c>
      <c r="E32" s="3">
        <v>45866</v>
      </c>
      <c r="F32">
        <v>314.36</v>
      </c>
      <c r="G32" t="s">
        <v>56</v>
      </c>
      <c r="H32" t="s">
        <v>57</v>
      </c>
      <c r="I32" t="s">
        <v>103</v>
      </c>
      <c r="J32" t="s">
        <v>109</v>
      </c>
      <c r="L32" t="s">
        <v>60</v>
      </c>
      <c r="M32" t="s">
        <v>61</v>
      </c>
      <c r="N32" s="3">
        <v>45866</v>
      </c>
      <c r="O32">
        <v>314.36</v>
      </c>
      <c r="P32" t="s">
        <v>56</v>
      </c>
      <c r="Q32" t="s">
        <v>57</v>
      </c>
      <c r="R32" t="s">
        <v>103</v>
      </c>
      <c r="S32" t="s">
        <v>109</v>
      </c>
      <c r="U32" t="s">
        <v>54</v>
      </c>
      <c r="V32" t="b">
        <v>1</v>
      </c>
      <c r="W32">
        <v>0</v>
      </c>
      <c r="X32">
        <v>0</v>
      </c>
      <c r="Y32" t="s">
        <v>14</v>
      </c>
    </row>
    <row r="33" spans="1:25">
      <c r="A33" t="s">
        <v>134</v>
      </c>
      <c r="B33" t="s">
        <v>134</v>
      </c>
      <c r="C33" t="s">
        <v>63</v>
      </c>
      <c r="D33" t="s">
        <v>64</v>
      </c>
      <c r="E33" s="3">
        <v>45901</v>
      </c>
      <c r="F33">
        <v>768.12</v>
      </c>
      <c r="G33" t="s">
        <v>56</v>
      </c>
      <c r="H33" t="s">
        <v>80</v>
      </c>
      <c r="I33" t="s">
        <v>97</v>
      </c>
      <c r="J33" t="s">
        <v>99</v>
      </c>
      <c r="L33" t="s">
        <v>68</v>
      </c>
      <c r="M33" t="s">
        <v>69</v>
      </c>
      <c r="N33" s="3">
        <v>45901</v>
      </c>
      <c r="O33">
        <v>768.12</v>
      </c>
      <c r="P33" t="s">
        <v>56</v>
      </c>
      <c r="Q33" t="s">
        <v>80</v>
      </c>
      <c r="R33" t="s">
        <v>97</v>
      </c>
      <c r="S33" t="s">
        <v>99</v>
      </c>
      <c r="U33" t="s">
        <v>63</v>
      </c>
      <c r="V33" t="b">
        <v>1</v>
      </c>
      <c r="W33">
        <v>0</v>
      </c>
      <c r="X33">
        <v>0</v>
      </c>
      <c r="Y33" t="s">
        <v>14</v>
      </c>
    </row>
    <row r="34" spans="1:25">
      <c r="A34" t="s">
        <v>135</v>
      </c>
      <c r="B34" t="s">
        <v>135</v>
      </c>
      <c r="C34" t="s">
        <v>87</v>
      </c>
      <c r="D34" t="s">
        <v>88</v>
      </c>
      <c r="E34" s="3">
        <v>45891</v>
      </c>
      <c r="F34">
        <v>87.23</v>
      </c>
      <c r="G34" t="s">
        <v>56</v>
      </c>
      <c r="H34" t="s">
        <v>80</v>
      </c>
      <c r="I34" t="s">
        <v>97</v>
      </c>
      <c r="J34" t="s">
        <v>85</v>
      </c>
      <c r="L34" t="s">
        <v>89</v>
      </c>
      <c r="M34" t="s">
        <v>90</v>
      </c>
      <c r="N34" s="3">
        <v>45891</v>
      </c>
      <c r="O34">
        <v>86.84</v>
      </c>
      <c r="P34" t="s">
        <v>56</v>
      </c>
      <c r="Q34" t="s">
        <v>80</v>
      </c>
      <c r="R34" t="s">
        <v>97</v>
      </c>
      <c r="S34" t="s">
        <v>85</v>
      </c>
      <c r="U34" t="s">
        <v>87</v>
      </c>
      <c r="V34" t="b">
        <v>1</v>
      </c>
      <c r="W34">
        <v>0.39</v>
      </c>
      <c r="X34">
        <v>0</v>
      </c>
      <c r="Y34" t="s">
        <v>15</v>
      </c>
    </row>
    <row r="35" spans="1:25">
      <c r="A35" t="s">
        <v>136</v>
      </c>
      <c r="B35" t="s">
        <v>136</v>
      </c>
      <c r="C35" t="s">
        <v>87</v>
      </c>
      <c r="D35" t="s">
        <v>88</v>
      </c>
      <c r="E35" s="3">
        <v>45908</v>
      </c>
      <c r="F35">
        <v>-633.86</v>
      </c>
      <c r="G35" t="s">
        <v>56</v>
      </c>
      <c r="H35" t="s">
        <v>73</v>
      </c>
      <c r="I35" t="s">
        <v>97</v>
      </c>
      <c r="J35" t="s">
        <v>81</v>
      </c>
      <c r="K35" t="s">
        <v>59</v>
      </c>
      <c r="L35" t="s">
        <v>89</v>
      </c>
      <c r="M35" t="s">
        <v>90</v>
      </c>
      <c r="N35" s="3">
        <v>45908</v>
      </c>
      <c r="O35">
        <v>-633.86</v>
      </c>
      <c r="P35" t="s">
        <v>56</v>
      </c>
      <c r="Q35" t="s">
        <v>73</v>
      </c>
      <c r="R35" t="s">
        <v>97</v>
      </c>
      <c r="S35" t="s">
        <v>81</v>
      </c>
      <c r="T35" t="s">
        <v>59</v>
      </c>
      <c r="U35" t="s">
        <v>87</v>
      </c>
      <c r="V35" t="b">
        <v>1</v>
      </c>
      <c r="W35">
        <v>0</v>
      </c>
      <c r="X35">
        <v>0</v>
      </c>
      <c r="Y35" t="s">
        <v>14</v>
      </c>
    </row>
    <row r="36" spans="1:25">
      <c r="A36" t="s">
        <v>137</v>
      </c>
      <c r="B36" t="s">
        <v>137</v>
      </c>
      <c r="C36" t="s">
        <v>92</v>
      </c>
      <c r="D36" t="s">
        <v>93</v>
      </c>
      <c r="E36" s="3">
        <v>45879</v>
      </c>
      <c r="F36">
        <v>-16.100000000000001</v>
      </c>
      <c r="G36" t="s">
        <v>56</v>
      </c>
      <c r="H36" t="s">
        <v>57</v>
      </c>
      <c r="I36" t="s">
        <v>103</v>
      </c>
      <c r="J36" t="s">
        <v>117</v>
      </c>
      <c r="K36" t="s">
        <v>138</v>
      </c>
      <c r="L36" t="s">
        <v>94</v>
      </c>
      <c r="M36" t="s">
        <v>95</v>
      </c>
      <c r="N36" s="3">
        <v>45881</v>
      </c>
      <c r="O36">
        <v>-16.82</v>
      </c>
      <c r="P36" t="s">
        <v>56</v>
      </c>
      <c r="Q36" t="s">
        <v>57</v>
      </c>
      <c r="R36" t="s">
        <v>103</v>
      </c>
      <c r="S36" t="s">
        <v>117</v>
      </c>
      <c r="T36" t="s">
        <v>138</v>
      </c>
      <c r="U36" t="s">
        <v>92</v>
      </c>
      <c r="V36" t="b">
        <v>1</v>
      </c>
      <c r="W36">
        <v>0.72</v>
      </c>
      <c r="X36">
        <v>-2</v>
      </c>
      <c r="Y36" t="s">
        <v>15</v>
      </c>
    </row>
    <row r="37" spans="1:25">
      <c r="A37" t="s">
        <v>139</v>
      </c>
      <c r="B37" t="s">
        <v>139</v>
      </c>
      <c r="C37" t="s">
        <v>87</v>
      </c>
      <c r="D37" t="s">
        <v>88</v>
      </c>
      <c r="E37" s="3">
        <v>45901</v>
      </c>
      <c r="F37">
        <v>334.46</v>
      </c>
      <c r="G37" t="s">
        <v>56</v>
      </c>
      <c r="H37" t="s">
        <v>80</v>
      </c>
      <c r="I37" t="s">
        <v>77</v>
      </c>
      <c r="K37" t="s">
        <v>105</v>
      </c>
      <c r="L37" t="s">
        <v>89</v>
      </c>
      <c r="M37" t="s">
        <v>90</v>
      </c>
      <c r="N37" s="3">
        <v>45901</v>
      </c>
      <c r="O37">
        <v>334.46</v>
      </c>
      <c r="P37" t="s">
        <v>56</v>
      </c>
      <c r="Q37" t="s">
        <v>80</v>
      </c>
      <c r="R37" t="s">
        <v>77</v>
      </c>
      <c r="T37" t="s">
        <v>105</v>
      </c>
      <c r="U37" t="s">
        <v>87</v>
      </c>
      <c r="V37" t="b">
        <v>1</v>
      </c>
      <c r="W37">
        <v>0</v>
      </c>
      <c r="X37">
        <v>0</v>
      </c>
      <c r="Y37" t="s">
        <v>14</v>
      </c>
    </row>
    <row r="38" spans="1:25">
      <c r="A38" t="s">
        <v>140</v>
      </c>
      <c r="B38" t="s">
        <v>140</v>
      </c>
      <c r="C38" t="s">
        <v>54</v>
      </c>
      <c r="D38" t="s">
        <v>55</v>
      </c>
      <c r="E38" s="3">
        <v>45880</v>
      </c>
      <c r="F38">
        <v>-198.95</v>
      </c>
      <c r="G38" t="s">
        <v>56</v>
      </c>
      <c r="H38" t="s">
        <v>57</v>
      </c>
      <c r="I38" t="s">
        <v>97</v>
      </c>
      <c r="J38" t="s">
        <v>117</v>
      </c>
      <c r="K38" t="s">
        <v>78</v>
      </c>
      <c r="L38" t="s">
        <v>60</v>
      </c>
      <c r="M38" t="s">
        <v>61</v>
      </c>
      <c r="N38" s="3">
        <v>45880</v>
      </c>
      <c r="O38">
        <v>-198.95</v>
      </c>
      <c r="P38" t="s">
        <v>56</v>
      </c>
      <c r="Q38" t="s">
        <v>57</v>
      </c>
      <c r="R38" t="s">
        <v>97</v>
      </c>
      <c r="S38" t="s">
        <v>117</v>
      </c>
      <c r="T38" t="s">
        <v>78</v>
      </c>
      <c r="U38" t="s">
        <v>54</v>
      </c>
      <c r="V38" t="b">
        <v>1</v>
      </c>
      <c r="W38">
        <v>0</v>
      </c>
      <c r="X38">
        <v>0</v>
      </c>
      <c r="Y38" t="s">
        <v>14</v>
      </c>
    </row>
    <row r="39" spans="1:25">
      <c r="A39" t="s">
        <v>141</v>
      </c>
      <c r="B39" t="s">
        <v>141</v>
      </c>
      <c r="C39" t="s">
        <v>54</v>
      </c>
      <c r="D39" t="s">
        <v>55</v>
      </c>
      <c r="E39" s="3">
        <v>45870</v>
      </c>
      <c r="F39">
        <v>865.49</v>
      </c>
      <c r="G39" t="s">
        <v>56</v>
      </c>
      <c r="H39" t="s">
        <v>57</v>
      </c>
      <c r="I39" t="s">
        <v>77</v>
      </c>
      <c r="J39" t="s">
        <v>109</v>
      </c>
      <c r="K39" t="s">
        <v>138</v>
      </c>
      <c r="L39" t="s">
        <v>60</v>
      </c>
      <c r="M39" t="s">
        <v>61</v>
      </c>
      <c r="N39" s="3">
        <v>45870</v>
      </c>
      <c r="O39">
        <v>865.49</v>
      </c>
      <c r="P39" t="s">
        <v>56</v>
      </c>
      <c r="Q39" t="s">
        <v>57</v>
      </c>
      <c r="R39" t="s">
        <v>77</v>
      </c>
      <c r="S39" t="s">
        <v>109</v>
      </c>
      <c r="T39" t="s">
        <v>138</v>
      </c>
      <c r="U39" t="s">
        <v>54</v>
      </c>
      <c r="V39" t="b">
        <v>1</v>
      </c>
      <c r="W39">
        <v>0</v>
      </c>
      <c r="X39">
        <v>0</v>
      </c>
      <c r="Y39" t="s">
        <v>14</v>
      </c>
    </row>
    <row r="40" spans="1:25">
      <c r="A40" t="s">
        <v>142</v>
      </c>
      <c r="B40" t="s">
        <v>142</v>
      </c>
      <c r="C40" t="s">
        <v>63</v>
      </c>
      <c r="D40" t="s">
        <v>64</v>
      </c>
      <c r="E40" s="3">
        <v>45910</v>
      </c>
      <c r="F40">
        <v>941.54</v>
      </c>
      <c r="G40" t="s">
        <v>56</v>
      </c>
      <c r="H40" t="s">
        <v>73</v>
      </c>
      <c r="I40" t="s">
        <v>97</v>
      </c>
      <c r="J40" t="s">
        <v>117</v>
      </c>
      <c r="K40" t="s">
        <v>78</v>
      </c>
      <c r="L40" t="s">
        <v>68</v>
      </c>
      <c r="M40" t="s">
        <v>69</v>
      </c>
      <c r="N40" s="3">
        <v>45910</v>
      </c>
      <c r="O40">
        <v>942.35</v>
      </c>
      <c r="P40" t="s">
        <v>56</v>
      </c>
      <c r="Q40" t="s">
        <v>73</v>
      </c>
      <c r="R40" t="s">
        <v>97</v>
      </c>
      <c r="S40" t="s">
        <v>117</v>
      </c>
      <c r="T40" t="s">
        <v>78</v>
      </c>
      <c r="U40" t="s">
        <v>63</v>
      </c>
      <c r="V40" t="b">
        <v>1</v>
      </c>
      <c r="W40">
        <v>-0.81</v>
      </c>
      <c r="X40">
        <v>0</v>
      </c>
      <c r="Y40" t="s">
        <v>15</v>
      </c>
    </row>
    <row r="41" spans="1:25">
      <c r="A41" t="s">
        <v>143</v>
      </c>
      <c r="B41" t="s">
        <v>143</v>
      </c>
      <c r="C41" t="s">
        <v>71</v>
      </c>
      <c r="D41" t="s">
        <v>72</v>
      </c>
      <c r="E41" s="3">
        <v>45907</v>
      </c>
      <c r="F41">
        <v>417.65</v>
      </c>
      <c r="G41" t="s">
        <v>56</v>
      </c>
      <c r="H41" t="s">
        <v>57</v>
      </c>
      <c r="I41" t="s">
        <v>77</v>
      </c>
      <c r="J41" t="s">
        <v>117</v>
      </c>
      <c r="K41" t="s">
        <v>67</v>
      </c>
      <c r="L41" t="s">
        <v>74</v>
      </c>
      <c r="M41" t="s">
        <v>75</v>
      </c>
      <c r="N41" s="3">
        <v>45907</v>
      </c>
      <c r="O41">
        <v>417.84</v>
      </c>
      <c r="P41" t="s">
        <v>56</v>
      </c>
      <c r="Q41" t="s">
        <v>57</v>
      </c>
      <c r="R41" t="s">
        <v>77</v>
      </c>
      <c r="S41" t="s">
        <v>117</v>
      </c>
      <c r="T41" t="s">
        <v>67</v>
      </c>
      <c r="U41" t="s">
        <v>71</v>
      </c>
      <c r="V41" t="b">
        <v>1</v>
      </c>
      <c r="W41">
        <v>-0.19</v>
      </c>
      <c r="X41">
        <v>0</v>
      </c>
      <c r="Y41" t="s">
        <v>15</v>
      </c>
    </row>
    <row r="42" spans="1:25">
      <c r="A42" t="s">
        <v>144</v>
      </c>
      <c r="B42" t="s">
        <v>144</v>
      </c>
      <c r="C42" t="s">
        <v>63</v>
      </c>
      <c r="D42" t="s">
        <v>64</v>
      </c>
      <c r="E42" s="3">
        <v>45903</v>
      </c>
      <c r="F42">
        <v>-710.18</v>
      </c>
      <c r="G42" t="s">
        <v>56</v>
      </c>
      <c r="H42" t="s">
        <v>65</v>
      </c>
      <c r="I42" t="s">
        <v>58</v>
      </c>
      <c r="J42" t="s">
        <v>81</v>
      </c>
      <c r="K42" t="s">
        <v>59</v>
      </c>
      <c r="L42" t="s">
        <v>68</v>
      </c>
      <c r="M42" t="s">
        <v>69</v>
      </c>
      <c r="N42" s="3">
        <v>45903</v>
      </c>
      <c r="O42">
        <v>-710.18</v>
      </c>
      <c r="P42" t="s">
        <v>56</v>
      </c>
      <c r="Q42" t="s">
        <v>65</v>
      </c>
      <c r="R42" t="s">
        <v>58</v>
      </c>
      <c r="S42" t="s">
        <v>81</v>
      </c>
      <c r="T42" t="s">
        <v>59</v>
      </c>
      <c r="U42" t="s">
        <v>63</v>
      </c>
      <c r="V42" t="b">
        <v>1</v>
      </c>
      <c r="W42">
        <v>0</v>
      </c>
      <c r="X42">
        <v>0</v>
      </c>
      <c r="Y42" t="s">
        <v>14</v>
      </c>
    </row>
    <row r="43" spans="1:25">
      <c r="A43" t="s">
        <v>145</v>
      </c>
      <c r="B43" t="s">
        <v>145</v>
      </c>
      <c r="C43" t="s">
        <v>92</v>
      </c>
      <c r="D43" t="s">
        <v>93</v>
      </c>
      <c r="E43" s="3">
        <v>45908</v>
      </c>
      <c r="F43">
        <v>455</v>
      </c>
      <c r="G43" t="s">
        <v>56</v>
      </c>
      <c r="H43" t="s">
        <v>73</v>
      </c>
      <c r="I43" t="s">
        <v>103</v>
      </c>
      <c r="J43" t="s">
        <v>81</v>
      </c>
      <c r="K43" t="s">
        <v>59</v>
      </c>
      <c r="L43" t="s">
        <v>94</v>
      </c>
      <c r="M43" t="s">
        <v>95</v>
      </c>
      <c r="N43" s="3">
        <v>45908</v>
      </c>
      <c r="O43">
        <v>455</v>
      </c>
      <c r="P43" t="s">
        <v>56</v>
      </c>
      <c r="Q43" t="s">
        <v>73</v>
      </c>
      <c r="R43" t="s">
        <v>103</v>
      </c>
      <c r="S43" t="s">
        <v>81</v>
      </c>
      <c r="T43" t="s">
        <v>59</v>
      </c>
      <c r="U43" t="s">
        <v>92</v>
      </c>
      <c r="V43" t="b">
        <v>1</v>
      </c>
      <c r="W43">
        <v>0</v>
      </c>
      <c r="X43">
        <v>0</v>
      </c>
      <c r="Y43" t="s">
        <v>14</v>
      </c>
    </row>
    <row r="44" spans="1:25">
      <c r="A44" t="s">
        <v>146</v>
      </c>
      <c r="B44" t="s">
        <v>146</v>
      </c>
      <c r="C44" t="s">
        <v>92</v>
      </c>
      <c r="D44" t="s">
        <v>93</v>
      </c>
      <c r="E44" s="3">
        <v>45865</v>
      </c>
      <c r="F44">
        <v>-642.02</v>
      </c>
      <c r="G44" t="s">
        <v>56</v>
      </c>
      <c r="H44" t="s">
        <v>57</v>
      </c>
      <c r="I44" t="s">
        <v>97</v>
      </c>
      <c r="J44" t="s">
        <v>117</v>
      </c>
      <c r="L44" t="s">
        <v>125</v>
      </c>
      <c r="M44" t="s">
        <v>126</v>
      </c>
      <c r="N44" s="3">
        <v>45865</v>
      </c>
      <c r="O44">
        <v>-642.02</v>
      </c>
      <c r="P44" t="s">
        <v>56</v>
      </c>
      <c r="Q44" t="s">
        <v>57</v>
      </c>
      <c r="R44" t="s">
        <v>97</v>
      </c>
      <c r="S44" t="s">
        <v>117</v>
      </c>
      <c r="U44" t="s">
        <v>92</v>
      </c>
      <c r="V44" t="b">
        <v>1</v>
      </c>
      <c r="W44">
        <v>0</v>
      </c>
      <c r="X44">
        <v>0</v>
      </c>
      <c r="Y44" t="s">
        <v>14</v>
      </c>
    </row>
    <row r="45" spans="1:25">
      <c r="A45" t="s">
        <v>147</v>
      </c>
      <c r="B45" t="s">
        <v>147</v>
      </c>
      <c r="C45" t="s">
        <v>87</v>
      </c>
      <c r="D45" t="s">
        <v>88</v>
      </c>
      <c r="E45" s="3">
        <v>45909</v>
      </c>
      <c r="F45">
        <v>311.79000000000002</v>
      </c>
      <c r="G45" t="s">
        <v>56</v>
      </c>
      <c r="H45" t="s">
        <v>57</v>
      </c>
      <c r="I45" t="s">
        <v>103</v>
      </c>
      <c r="J45" t="s">
        <v>81</v>
      </c>
      <c r="K45" t="s">
        <v>138</v>
      </c>
      <c r="L45" t="s">
        <v>89</v>
      </c>
      <c r="M45" t="s">
        <v>90</v>
      </c>
      <c r="N45" s="3">
        <v>45910</v>
      </c>
      <c r="O45">
        <v>311.27</v>
      </c>
      <c r="P45" t="s">
        <v>56</v>
      </c>
      <c r="Q45" t="s">
        <v>57</v>
      </c>
      <c r="R45" t="s">
        <v>103</v>
      </c>
      <c r="S45" t="s">
        <v>81</v>
      </c>
      <c r="T45" t="s">
        <v>138</v>
      </c>
      <c r="U45" t="s">
        <v>87</v>
      </c>
      <c r="V45" t="b">
        <v>1</v>
      </c>
      <c r="W45">
        <v>0.52</v>
      </c>
      <c r="X45">
        <v>-1</v>
      </c>
      <c r="Y45" t="s">
        <v>15</v>
      </c>
    </row>
    <row r="46" spans="1:25">
      <c r="A46" t="s">
        <v>148</v>
      </c>
      <c r="B46" t="s">
        <v>148</v>
      </c>
      <c r="C46" t="s">
        <v>92</v>
      </c>
      <c r="D46" t="s">
        <v>93</v>
      </c>
      <c r="E46" s="3">
        <v>45872</v>
      </c>
      <c r="F46">
        <v>72.92</v>
      </c>
      <c r="G46" t="s">
        <v>56</v>
      </c>
      <c r="H46" t="s">
        <v>80</v>
      </c>
      <c r="I46" t="s">
        <v>103</v>
      </c>
      <c r="J46" t="s">
        <v>85</v>
      </c>
      <c r="K46" t="s">
        <v>67</v>
      </c>
      <c r="L46" t="s">
        <v>125</v>
      </c>
      <c r="M46" t="s">
        <v>126</v>
      </c>
      <c r="N46" s="3">
        <v>45872</v>
      </c>
      <c r="O46">
        <v>72.92</v>
      </c>
      <c r="P46" t="s">
        <v>56</v>
      </c>
      <c r="Q46" t="s">
        <v>80</v>
      </c>
      <c r="R46" t="s">
        <v>103</v>
      </c>
      <c r="S46" t="s">
        <v>85</v>
      </c>
      <c r="T46" t="s">
        <v>67</v>
      </c>
      <c r="U46" t="s">
        <v>92</v>
      </c>
      <c r="V46" t="b">
        <v>1</v>
      </c>
      <c r="W46">
        <v>0</v>
      </c>
      <c r="X46">
        <v>0</v>
      </c>
      <c r="Y46" t="s">
        <v>14</v>
      </c>
    </row>
    <row r="47" spans="1:25">
      <c r="A47" t="s">
        <v>149</v>
      </c>
      <c r="B47" t="s">
        <v>149</v>
      </c>
      <c r="C47" t="s">
        <v>150</v>
      </c>
      <c r="D47" t="s">
        <v>151</v>
      </c>
      <c r="E47" s="3">
        <v>45860</v>
      </c>
      <c r="F47">
        <v>49.23</v>
      </c>
      <c r="G47" t="s">
        <v>56</v>
      </c>
      <c r="H47" t="s">
        <v>80</v>
      </c>
      <c r="I47" t="s">
        <v>77</v>
      </c>
      <c r="J47" t="s">
        <v>109</v>
      </c>
      <c r="K47" t="s">
        <v>59</v>
      </c>
      <c r="L47" t="s">
        <v>152</v>
      </c>
      <c r="M47" t="s">
        <v>153</v>
      </c>
      <c r="N47" s="3">
        <v>45860</v>
      </c>
      <c r="O47">
        <v>49.23</v>
      </c>
      <c r="P47" t="s">
        <v>56</v>
      </c>
      <c r="Q47" t="s">
        <v>80</v>
      </c>
      <c r="R47" t="s">
        <v>77</v>
      </c>
      <c r="S47" t="s">
        <v>109</v>
      </c>
      <c r="T47" t="s">
        <v>59</v>
      </c>
      <c r="U47" t="s">
        <v>150</v>
      </c>
      <c r="V47" t="b">
        <v>1</v>
      </c>
      <c r="W47">
        <v>0</v>
      </c>
      <c r="X47">
        <v>0</v>
      </c>
      <c r="Y47" t="s">
        <v>14</v>
      </c>
    </row>
    <row r="48" spans="1:25">
      <c r="A48" t="s">
        <v>154</v>
      </c>
      <c r="B48" t="s">
        <v>154</v>
      </c>
      <c r="C48" t="s">
        <v>92</v>
      </c>
      <c r="D48" t="s">
        <v>93</v>
      </c>
      <c r="E48" s="3">
        <v>45883</v>
      </c>
      <c r="F48">
        <v>595.78</v>
      </c>
      <c r="G48" t="s">
        <v>56</v>
      </c>
      <c r="H48" t="s">
        <v>65</v>
      </c>
      <c r="I48" t="s">
        <v>97</v>
      </c>
      <c r="J48" t="s">
        <v>85</v>
      </c>
      <c r="K48" t="s">
        <v>59</v>
      </c>
      <c r="L48" t="s">
        <v>125</v>
      </c>
      <c r="M48" t="s">
        <v>126</v>
      </c>
      <c r="N48" s="3">
        <v>45883</v>
      </c>
      <c r="O48">
        <v>595.78</v>
      </c>
      <c r="P48" t="s">
        <v>56</v>
      </c>
      <c r="Q48" t="s">
        <v>65</v>
      </c>
      <c r="R48" t="s">
        <v>97</v>
      </c>
      <c r="S48" t="s">
        <v>85</v>
      </c>
      <c r="T48" t="s">
        <v>59</v>
      </c>
      <c r="U48" t="s">
        <v>92</v>
      </c>
      <c r="V48" t="b">
        <v>1</v>
      </c>
      <c r="W48">
        <v>0</v>
      </c>
      <c r="X48">
        <v>0</v>
      </c>
      <c r="Y48" t="s">
        <v>14</v>
      </c>
    </row>
    <row r="49" spans="1:25">
      <c r="A49" t="s">
        <v>155</v>
      </c>
      <c r="B49" t="s">
        <v>155</v>
      </c>
      <c r="C49" t="s">
        <v>63</v>
      </c>
      <c r="D49" t="s">
        <v>64</v>
      </c>
      <c r="E49" s="3">
        <v>45912</v>
      </c>
      <c r="F49">
        <v>1061.9000000000001</v>
      </c>
      <c r="G49" t="s">
        <v>56</v>
      </c>
      <c r="H49" t="s">
        <v>65</v>
      </c>
      <c r="I49" t="s">
        <v>58</v>
      </c>
      <c r="L49" t="s">
        <v>82</v>
      </c>
      <c r="M49" t="s">
        <v>83</v>
      </c>
      <c r="N49" s="3">
        <v>45912</v>
      </c>
      <c r="O49">
        <v>1061.9000000000001</v>
      </c>
      <c r="P49" t="s">
        <v>56</v>
      </c>
      <c r="Q49" t="s">
        <v>65</v>
      </c>
      <c r="R49" t="s">
        <v>58</v>
      </c>
      <c r="U49" t="s">
        <v>63</v>
      </c>
      <c r="V49" t="b">
        <v>1</v>
      </c>
      <c r="W49">
        <v>0</v>
      </c>
      <c r="X49">
        <v>0</v>
      </c>
      <c r="Y49" t="s">
        <v>14</v>
      </c>
    </row>
    <row r="50" spans="1:25">
      <c r="A50" t="s">
        <v>156</v>
      </c>
      <c r="B50" t="s">
        <v>156</v>
      </c>
      <c r="C50" t="s">
        <v>150</v>
      </c>
      <c r="D50" t="s">
        <v>151</v>
      </c>
      <c r="E50" s="3">
        <v>45868</v>
      </c>
      <c r="F50">
        <v>-567.35</v>
      </c>
      <c r="G50" t="s">
        <v>56</v>
      </c>
      <c r="H50" t="s">
        <v>57</v>
      </c>
      <c r="I50" t="s">
        <v>58</v>
      </c>
      <c r="J50" t="s">
        <v>99</v>
      </c>
      <c r="K50" t="s">
        <v>105</v>
      </c>
      <c r="L50" t="s">
        <v>152</v>
      </c>
      <c r="M50" t="s">
        <v>153</v>
      </c>
      <c r="N50" s="3">
        <v>45868</v>
      </c>
      <c r="O50">
        <v>-567.35</v>
      </c>
      <c r="P50" t="s">
        <v>56</v>
      </c>
      <c r="Q50" t="s">
        <v>57</v>
      </c>
      <c r="R50" t="s">
        <v>58</v>
      </c>
      <c r="S50" t="s">
        <v>99</v>
      </c>
      <c r="T50" t="s">
        <v>105</v>
      </c>
      <c r="U50" t="s">
        <v>150</v>
      </c>
      <c r="V50" t="b">
        <v>1</v>
      </c>
      <c r="W50">
        <v>0</v>
      </c>
      <c r="X50">
        <v>0</v>
      </c>
      <c r="Y50" t="s">
        <v>14</v>
      </c>
    </row>
    <row r="51" spans="1:25">
      <c r="A51" t="s">
        <v>157</v>
      </c>
      <c r="B51" t="s">
        <v>157</v>
      </c>
      <c r="C51" t="s">
        <v>92</v>
      </c>
      <c r="D51" t="s">
        <v>93</v>
      </c>
      <c r="E51" s="3">
        <v>45890</v>
      </c>
      <c r="F51">
        <v>368.85</v>
      </c>
      <c r="G51" t="s">
        <v>56</v>
      </c>
      <c r="H51" t="s">
        <v>57</v>
      </c>
      <c r="I51" t="s">
        <v>58</v>
      </c>
      <c r="J51" t="s">
        <v>81</v>
      </c>
      <c r="K51" t="s">
        <v>78</v>
      </c>
      <c r="L51" t="s">
        <v>125</v>
      </c>
      <c r="M51" t="s">
        <v>126</v>
      </c>
      <c r="N51" s="3">
        <v>45890</v>
      </c>
      <c r="O51">
        <v>368.85</v>
      </c>
      <c r="P51" t="s">
        <v>56</v>
      </c>
      <c r="Q51" t="s">
        <v>57</v>
      </c>
      <c r="R51" t="s">
        <v>58</v>
      </c>
      <c r="S51" t="s">
        <v>81</v>
      </c>
      <c r="T51" t="s">
        <v>78</v>
      </c>
      <c r="U51" t="s">
        <v>92</v>
      </c>
      <c r="V51" t="b">
        <v>1</v>
      </c>
      <c r="W51">
        <v>0</v>
      </c>
      <c r="X51">
        <v>0</v>
      </c>
      <c r="Y51" t="s">
        <v>14</v>
      </c>
    </row>
    <row r="52" spans="1:25">
      <c r="A52" t="s">
        <v>158</v>
      </c>
      <c r="B52" t="s">
        <v>158</v>
      </c>
      <c r="C52" t="s">
        <v>87</v>
      </c>
      <c r="D52" t="s">
        <v>88</v>
      </c>
      <c r="E52" s="3">
        <v>45859</v>
      </c>
      <c r="F52">
        <v>978</v>
      </c>
      <c r="G52" t="s">
        <v>56</v>
      </c>
      <c r="H52" t="s">
        <v>73</v>
      </c>
      <c r="I52" t="s">
        <v>58</v>
      </c>
      <c r="K52" t="s">
        <v>107</v>
      </c>
      <c r="L52" t="s">
        <v>100</v>
      </c>
      <c r="M52" t="s">
        <v>101</v>
      </c>
      <c r="N52" s="3">
        <v>45859</v>
      </c>
      <c r="O52">
        <v>978</v>
      </c>
      <c r="P52" t="s">
        <v>56</v>
      </c>
      <c r="Q52" t="s">
        <v>73</v>
      </c>
      <c r="R52" t="s">
        <v>58</v>
      </c>
      <c r="T52" t="s">
        <v>107</v>
      </c>
      <c r="U52" t="s">
        <v>87</v>
      </c>
      <c r="V52" t="b">
        <v>1</v>
      </c>
      <c r="W52">
        <v>0</v>
      </c>
      <c r="X52">
        <v>0</v>
      </c>
      <c r="Y52" t="s">
        <v>14</v>
      </c>
    </row>
    <row r="53" spans="1:25">
      <c r="A53" t="s">
        <v>159</v>
      </c>
      <c r="B53" t="s">
        <v>159</v>
      </c>
      <c r="C53" t="s">
        <v>92</v>
      </c>
      <c r="D53" t="s">
        <v>93</v>
      </c>
      <c r="E53" s="3">
        <v>45877</v>
      </c>
      <c r="F53">
        <v>559.33000000000004</v>
      </c>
      <c r="G53" t="s">
        <v>56</v>
      </c>
      <c r="H53" t="s">
        <v>65</v>
      </c>
      <c r="I53" t="s">
        <v>103</v>
      </c>
      <c r="J53" t="s">
        <v>117</v>
      </c>
      <c r="K53" t="s">
        <v>59</v>
      </c>
      <c r="L53" t="s">
        <v>94</v>
      </c>
      <c r="M53" t="s">
        <v>95</v>
      </c>
      <c r="N53" s="3">
        <v>45877</v>
      </c>
      <c r="O53">
        <v>559.33000000000004</v>
      </c>
      <c r="P53" t="s">
        <v>56</v>
      </c>
      <c r="Q53" t="s">
        <v>65</v>
      </c>
      <c r="R53" t="s">
        <v>103</v>
      </c>
      <c r="S53" t="s">
        <v>117</v>
      </c>
      <c r="T53" t="s">
        <v>59</v>
      </c>
      <c r="U53" t="s">
        <v>92</v>
      </c>
      <c r="V53" t="b">
        <v>1</v>
      </c>
      <c r="W53">
        <v>0</v>
      </c>
      <c r="X53">
        <v>0</v>
      </c>
      <c r="Y53" t="s">
        <v>14</v>
      </c>
    </row>
    <row r="54" spans="1:25">
      <c r="A54" t="s">
        <v>160</v>
      </c>
      <c r="B54" t="s">
        <v>160</v>
      </c>
      <c r="C54" t="s">
        <v>92</v>
      </c>
      <c r="D54" t="s">
        <v>93</v>
      </c>
      <c r="E54" s="3">
        <v>45908</v>
      </c>
      <c r="F54">
        <v>525.36</v>
      </c>
      <c r="G54" t="s">
        <v>56</v>
      </c>
      <c r="H54" t="s">
        <v>65</v>
      </c>
      <c r="I54" t="s">
        <v>103</v>
      </c>
      <c r="J54" t="s">
        <v>85</v>
      </c>
      <c r="K54" t="s">
        <v>78</v>
      </c>
      <c r="L54" t="s">
        <v>125</v>
      </c>
      <c r="M54" t="s">
        <v>126</v>
      </c>
      <c r="N54" s="3">
        <v>45908</v>
      </c>
      <c r="O54">
        <v>525.36</v>
      </c>
      <c r="P54" t="s">
        <v>56</v>
      </c>
      <c r="Q54" t="s">
        <v>65</v>
      </c>
      <c r="R54" t="s">
        <v>103</v>
      </c>
      <c r="S54" t="s">
        <v>85</v>
      </c>
      <c r="T54" t="s">
        <v>78</v>
      </c>
      <c r="U54" t="s">
        <v>92</v>
      </c>
      <c r="V54" t="b">
        <v>1</v>
      </c>
      <c r="W54">
        <v>0</v>
      </c>
      <c r="X54">
        <v>0</v>
      </c>
      <c r="Y54" t="s">
        <v>14</v>
      </c>
    </row>
    <row r="55" spans="1:25">
      <c r="A55" t="s">
        <v>161</v>
      </c>
      <c r="B55" t="s">
        <v>161</v>
      </c>
      <c r="C55" t="s">
        <v>92</v>
      </c>
      <c r="D55" t="s">
        <v>93</v>
      </c>
      <c r="E55" s="3">
        <v>45865</v>
      </c>
      <c r="F55">
        <v>563.14</v>
      </c>
      <c r="G55" t="s">
        <v>56</v>
      </c>
      <c r="H55" t="s">
        <v>73</v>
      </c>
      <c r="I55" t="s">
        <v>77</v>
      </c>
      <c r="J55" t="s">
        <v>99</v>
      </c>
      <c r="K55" t="s">
        <v>107</v>
      </c>
      <c r="L55" t="s">
        <v>94</v>
      </c>
      <c r="M55" t="s">
        <v>95</v>
      </c>
      <c r="N55" s="3">
        <v>45865</v>
      </c>
      <c r="O55">
        <v>563.14</v>
      </c>
      <c r="P55" t="s">
        <v>56</v>
      </c>
      <c r="Q55" t="s">
        <v>73</v>
      </c>
      <c r="R55" t="s">
        <v>77</v>
      </c>
      <c r="S55" t="s">
        <v>99</v>
      </c>
      <c r="T55" t="s">
        <v>107</v>
      </c>
      <c r="U55" t="s">
        <v>92</v>
      </c>
      <c r="V55" t="b">
        <v>1</v>
      </c>
      <c r="W55">
        <v>0</v>
      </c>
      <c r="X55">
        <v>0</v>
      </c>
      <c r="Y55" t="s">
        <v>14</v>
      </c>
    </row>
    <row r="56" spans="1:25">
      <c r="A56" t="s">
        <v>162</v>
      </c>
      <c r="B56" t="s">
        <v>162</v>
      </c>
      <c r="C56" t="s">
        <v>87</v>
      </c>
      <c r="D56" t="s">
        <v>88</v>
      </c>
      <c r="E56" s="3">
        <v>45884</v>
      </c>
      <c r="F56">
        <v>-466.91</v>
      </c>
      <c r="G56" t="s">
        <v>56</v>
      </c>
      <c r="H56" t="s">
        <v>80</v>
      </c>
      <c r="I56" t="s">
        <v>58</v>
      </c>
      <c r="K56" t="s">
        <v>78</v>
      </c>
      <c r="L56" t="s">
        <v>89</v>
      </c>
      <c r="M56" t="s">
        <v>90</v>
      </c>
      <c r="N56" s="3">
        <v>45885</v>
      </c>
      <c r="O56">
        <v>-467.28</v>
      </c>
      <c r="P56" t="s">
        <v>56</v>
      </c>
      <c r="Q56" t="s">
        <v>80</v>
      </c>
      <c r="R56" t="s">
        <v>58</v>
      </c>
      <c r="T56" t="s">
        <v>78</v>
      </c>
      <c r="U56" t="s">
        <v>87</v>
      </c>
      <c r="V56" t="b">
        <v>1</v>
      </c>
      <c r="W56">
        <v>0.37</v>
      </c>
      <c r="X56">
        <v>-1</v>
      </c>
      <c r="Y56" t="s">
        <v>15</v>
      </c>
    </row>
    <row r="57" spans="1:25">
      <c r="A57" t="s">
        <v>163</v>
      </c>
      <c r="B57" t="s">
        <v>163</v>
      </c>
      <c r="C57" t="s">
        <v>54</v>
      </c>
      <c r="D57" t="s">
        <v>55</v>
      </c>
      <c r="E57" s="3">
        <v>45866</v>
      </c>
      <c r="F57">
        <v>-422.63</v>
      </c>
      <c r="G57" t="s">
        <v>56</v>
      </c>
      <c r="H57" t="s">
        <v>65</v>
      </c>
      <c r="I57" t="s">
        <v>77</v>
      </c>
      <c r="J57" t="s">
        <v>81</v>
      </c>
      <c r="K57" t="s">
        <v>105</v>
      </c>
      <c r="L57" t="s">
        <v>60</v>
      </c>
      <c r="M57" t="s">
        <v>61</v>
      </c>
      <c r="N57" s="3">
        <v>45866</v>
      </c>
      <c r="O57">
        <v>-422.63</v>
      </c>
      <c r="P57" t="s">
        <v>56</v>
      </c>
      <c r="Q57" t="s">
        <v>65</v>
      </c>
      <c r="R57" t="s">
        <v>77</v>
      </c>
      <c r="S57" t="s">
        <v>81</v>
      </c>
      <c r="T57" t="s">
        <v>105</v>
      </c>
      <c r="U57" t="s">
        <v>54</v>
      </c>
      <c r="V57" t="b">
        <v>1</v>
      </c>
      <c r="W57">
        <v>0</v>
      </c>
      <c r="X57">
        <v>0</v>
      </c>
      <c r="Y57" t="s">
        <v>14</v>
      </c>
    </row>
    <row r="58" spans="1:25">
      <c r="A58" t="s">
        <v>164</v>
      </c>
      <c r="B58" t="s">
        <v>164</v>
      </c>
      <c r="C58" t="s">
        <v>63</v>
      </c>
      <c r="D58" t="s">
        <v>64</v>
      </c>
      <c r="E58" s="3">
        <v>45882</v>
      </c>
      <c r="F58">
        <v>141.26</v>
      </c>
      <c r="G58" t="s">
        <v>56</v>
      </c>
      <c r="H58" t="s">
        <v>65</v>
      </c>
      <c r="I58" t="s">
        <v>97</v>
      </c>
      <c r="J58" t="s">
        <v>81</v>
      </c>
      <c r="K58" t="s">
        <v>105</v>
      </c>
      <c r="L58" t="s">
        <v>68</v>
      </c>
      <c r="M58" t="s">
        <v>69</v>
      </c>
      <c r="N58" s="3">
        <v>45882</v>
      </c>
      <c r="O58">
        <v>141.26</v>
      </c>
      <c r="P58" t="s">
        <v>56</v>
      </c>
      <c r="Q58" t="s">
        <v>65</v>
      </c>
      <c r="R58" t="s">
        <v>97</v>
      </c>
      <c r="S58" t="s">
        <v>81</v>
      </c>
      <c r="T58" t="s">
        <v>105</v>
      </c>
      <c r="U58" t="s">
        <v>63</v>
      </c>
      <c r="V58" t="b">
        <v>1</v>
      </c>
      <c r="W58">
        <v>0</v>
      </c>
      <c r="X58">
        <v>0</v>
      </c>
      <c r="Y58" t="s">
        <v>14</v>
      </c>
    </row>
    <row r="59" spans="1:25">
      <c r="A59" t="s">
        <v>165</v>
      </c>
      <c r="B59" t="s">
        <v>165</v>
      </c>
      <c r="C59" t="s">
        <v>71</v>
      </c>
      <c r="D59" t="s">
        <v>72</v>
      </c>
      <c r="E59" s="3">
        <v>45889</v>
      </c>
      <c r="F59">
        <v>625.41</v>
      </c>
      <c r="G59" t="s">
        <v>56</v>
      </c>
      <c r="H59" t="s">
        <v>73</v>
      </c>
      <c r="I59" t="s">
        <v>97</v>
      </c>
      <c r="J59" t="s">
        <v>99</v>
      </c>
      <c r="K59" t="s">
        <v>138</v>
      </c>
      <c r="L59" t="s">
        <v>74</v>
      </c>
      <c r="M59" t="s">
        <v>75</v>
      </c>
      <c r="N59" s="3">
        <v>45889</v>
      </c>
      <c r="O59">
        <v>625.41</v>
      </c>
      <c r="P59" t="s">
        <v>56</v>
      </c>
      <c r="Q59" t="s">
        <v>73</v>
      </c>
      <c r="R59" t="s">
        <v>97</v>
      </c>
      <c r="S59" t="s">
        <v>99</v>
      </c>
      <c r="T59" t="s">
        <v>138</v>
      </c>
      <c r="U59" t="s">
        <v>71</v>
      </c>
      <c r="V59" t="b">
        <v>1</v>
      </c>
      <c r="W59">
        <v>0</v>
      </c>
      <c r="X59">
        <v>0</v>
      </c>
      <c r="Y59" t="s">
        <v>14</v>
      </c>
    </row>
    <row r="60" spans="1:25">
      <c r="A60" t="s">
        <v>166</v>
      </c>
      <c r="B60" t="s">
        <v>166</v>
      </c>
      <c r="C60" t="s">
        <v>63</v>
      </c>
      <c r="D60" t="s">
        <v>64</v>
      </c>
      <c r="E60" s="3">
        <v>45903</v>
      </c>
      <c r="F60">
        <v>-476.31</v>
      </c>
      <c r="G60" t="s">
        <v>56</v>
      </c>
      <c r="H60" t="s">
        <v>80</v>
      </c>
      <c r="I60" t="s">
        <v>77</v>
      </c>
      <c r="J60" t="s">
        <v>117</v>
      </c>
      <c r="K60" t="s">
        <v>105</v>
      </c>
      <c r="L60" t="s">
        <v>68</v>
      </c>
      <c r="M60" t="s">
        <v>69</v>
      </c>
      <c r="N60" s="3">
        <v>45903</v>
      </c>
      <c r="O60">
        <v>-476.31</v>
      </c>
      <c r="P60" t="s">
        <v>56</v>
      </c>
      <c r="Q60" t="s">
        <v>80</v>
      </c>
      <c r="R60" t="s">
        <v>77</v>
      </c>
      <c r="S60" t="s">
        <v>117</v>
      </c>
      <c r="T60" t="s">
        <v>105</v>
      </c>
      <c r="U60" t="s">
        <v>63</v>
      </c>
      <c r="V60" t="b">
        <v>1</v>
      </c>
      <c r="W60">
        <v>0</v>
      </c>
      <c r="X60">
        <v>0</v>
      </c>
      <c r="Y60" t="s">
        <v>14</v>
      </c>
    </row>
    <row r="61" spans="1:25">
      <c r="A61" t="s">
        <v>167</v>
      </c>
      <c r="B61" t="s">
        <v>167</v>
      </c>
      <c r="C61" t="s">
        <v>63</v>
      </c>
      <c r="D61" t="s">
        <v>64</v>
      </c>
      <c r="E61" s="3">
        <v>45881</v>
      </c>
      <c r="F61">
        <v>-798.27</v>
      </c>
      <c r="G61" t="s">
        <v>56</v>
      </c>
      <c r="H61" t="s">
        <v>80</v>
      </c>
      <c r="I61" t="s">
        <v>58</v>
      </c>
      <c r="J61" t="s">
        <v>66</v>
      </c>
      <c r="L61" t="s">
        <v>82</v>
      </c>
      <c r="M61" t="s">
        <v>83</v>
      </c>
      <c r="N61" s="3">
        <v>45881</v>
      </c>
      <c r="O61">
        <v>-798.27</v>
      </c>
      <c r="P61" t="s">
        <v>56</v>
      </c>
      <c r="Q61" t="s">
        <v>80</v>
      </c>
      <c r="R61" t="s">
        <v>58</v>
      </c>
      <c r="S61" t="s">
        <v>66</v>
      </c>
      <c r="U61" t="s">
        <v>63</v>
      </c>
      <c r="V61" t="b">
        <v>1</v>
      </c>
      <c r="W61">
        <v>0</v>
      </c>
      <c r="X61">
        <v>0</v>
      </c>
      <c r="Y61" t="s">
        <v>14</v>
      </c>
    </row>
    <row r="62" spans="1:25">
      <c r="A62" t="s">
        <v>168</v>
      </c>
      <c r="B62" t="s">
        <v>168</v>
      </c>
      <c r="C62" t="s">
        <v>87</v>
      </c>
      <c r="D62" t="s">
        <v>88</v>
      </c>
      <c r="E62" s="3">
        <v>45913</v>
      </c>
      <c r="F62">
        <v>-407.8</v>
      </c>
      <c r="G62" t="s">
        <v>56</v>
      </c>
      <c r="H62" t="s">
        <v>80</v>
      </c>
      <c r="I62" t="s">
        <v>103</v>
      </c>
      <c r="J62" t="s">
        <v>66</v>
      </c>
      <c r="L62" t="s">
        <v>89</v>
      </c>
      <c r="M62" t="s">
        <v>90</v>
      </c>
      <c r="N62" s="3">
        <v>45914</v>
      </c>
      <c r="O62">
        <v>-406.08</v>
      </c>
      <c r="P62" t="s">
        <v>56</v>
      </c>
      <c r="Q62" t="s">
        <v>80</v>
      </c>
      <c r="R62" t="s">
        <v>103</v>
      </c>
      <c r="S62" t="s">
        <v>66</v>
      </c>
      <c r="U62" t="s">
        <v>87</v>
      </c>
      <c r="V62" t="b">
        <v>1</v>
      </c>
      <c r="W62">
        <v>-1.72</v>
      </c>
      <c r="X62">
        <v>-1</v>
      </c>
      <c r="Y62" t="s">
        <v>17</v>
      </c>
    </row>
    <row r="63" spans="1:25">
      <c r="A63" t="s">
        <v>169</v>
      </c>
      <c r="B63" t="s">
        <v>169</v>
      </c>
      <c r="C63" t="s">
        <v>150</v>
      </c>
      <c r="D63" t="s">
        <v>151</v>
      </c>
      <c r="E63" s="3">
        <v>45874</v>
      </c>
      <c r="F63">
        <v>23.41</v>
      </c>
      <c r="G63" t="s">
        <v>56</v>
      </c>
      <c r="H63" t="s">
        <v>73</v>
      </c>
      <c r="I63" t="s">
        <v>103</v>
      </c>
      <c r="J63" t="s">
        <v>117</v>
      </c>
      <c r="K63" t="s">
        <v>78</v>
      </c>
      <c r="L63" t="s">
        <v>152</v>
      </c>
      <c r="M63" t="s">
        <v>153</v>
      </c>
      <c r="N63" s="3">
        <v>45874</v>
      </c>
      <c r="O63">
        <v>23.41</v>
      </c>
      <c r="P63" t="s">
        <v>56</v>
      </c>
      <c r="Q63" t="s">
        <v>73</v>
      </c>
      <c r="R63" t="s">
        <v>103</v>
      </c>
      <c r="S63" t="s">
        <v>117</v>
      </c>
      <c r="T63" t="s">
        <v>78</v>
      </c>
      <c r="U63" t="s">
        <v>150</v>
      </c>
      <c r="V63" t="b">
        <v>1</v>
      </c>
      <c r="W63">
        <v>0</v>
      </c>
      <c r="X63">
        <v>0</v>
      </c>
      <c r="Y63" t="s">
        <v>14</v>
      </c>
    </row>
    <row r="64" spans="1:25">
      <c r="A64" t="s">
        <v>170</v>
      </c>
      <c r="B64" t="s">
        <v>170</v>
      </c>
      <c r="C64" t="s">
        <v>92</v>
      </c>
      <c r="D64" t="s">
        <v>93</v>
      </c>
      <c r="E64" s="3">
        <v>45915</v>
      </c>
      <c r="F64">
        <v>475.1</v>
      </c>
      <c r="G64" t="s">
        <v>56</v>
      </c>
      <c r="H64" t="s">
        <v>73</v>
      </c>
      <c r="I64" t="s">
        <v>103</v>
      </c>
      <c r="J64" t="s">
        <v>66</v>
      </c>
      <c r="K64" t="s">
        <v>138</v>
      </c>
      <c r="L64" t="s">
        <v>125</v>
      </c>
      <c r="M64" t="s">
        <v>126</v>
      </c>
      <c r="N64" s="3">
        <v>45915</v>
      </c>
      <c r="O64">
        <v>475.1</v>
      </c>
      <c r="P64" t="s">
        <v>56</v>
      </c>
      <c r="Q64" t="s">
        <v>73</v>
      </c>
      <c r="R64" t="s">
        <v>103</v>
      </c>
      <c r="S64" t="s">
        <v>66</v>
      </c>
      <c r="T64" t="s">
        <v>138</v>
      </c>
      <c r="U64" t="s">
        <v>92</v>
      </c>
      <c r="V64" t="b">
        <v>1</v>
      </c>
      <c r="W64">
        <v>0</v>
      </c>
      <c r="X64">
        <v>0</v>
      </c>
      <c r="Y64" t="s">
        <v>14</v>
      </c>
    </row>
    <row r="65" spans="1:25">
      <c r="A65" t="s">
        <v>171</v>
      </c>
      <c r="B65" t="s">
        <v>171</v>
      </c>
      <c r="C65" t="s">
        <v>63</v>
      </c>
      <c r="D65" t="s">
        <v>64</v>
      </c>
      <c r="E65" s="3">
        <v>45908</v>
      </c>
      <c r="F65">
        <v>924.88</v>
      </c>
      <c r="G65" t="s">
        <v>56</v>
      </c>
      <c r="H65" t="s">
        <v>73</v>
      </c>
      <c r="I65" t="s">
        <v>58</v>
      </c>
      <c r="J65" t="s">
        <v>99</v>
      </c>
      <c r="K65" t="s">
        <v>107</v>
      </c>
      <c r="L65" t="s">
        <v>82</v>
      </c>
      <c r="M65" t="s">
        <v>83</v>
      </c>
      <c r="N65" s="3">
        <v>45908</v>
      </c>
      <c r="O65">
        <v>924.51</v>
      </c>
      <c r="P65" t="s">
        <v>56</v>
      </c>
      <c r="Q65" t="s">
        <v>73</v>
      </c>
      <c r="R65" t="s">
        <v>58</v>
      </c>
      <c r="S65" t="s">
        <v>99</v>
      </c>
      <c r="T65" t="s">
        <v>107</v>
      </c>
      <c r="U65" t="s">
        <v>63</v>
      </c>
      <c r="V65" t="b">
        <v>1</v>
      </c>
      <c r="W65">
        <v>0.37</v>
      </c>
      <c r="X65">
        <v>0</v>
      </c>
      <c r="Y65" t="s">
        <v>15</v>
      </c>
    </row>
    <row r="66" spans="1:25">
      <c r="A66" t="s">
        <v>172</v>
      </c>
      <c r="B66" t="s">
        <v>172</v>
      </c>
      <c r="C66" t="s">
        <v>63</v>
      </c>
      <c r="D66" t="s">
        <v>64</v>
      </c>
      <c r="E66" s="3">
        <v>45908</v>
      </c>
      <c r="F66">
        <v>-404.14</v>
      </c>
      <c r="G66" t="s">
        <v>56</v>
      </c>
      <c r="H66" t="s">
        <v>65</v>
      </c>
      <c r="I66" t="s">
        <v>58</v>
      </c>
      <c r="J66" t="s">
        <v>99</v>
      </c>
      <c r="L66" t="s">
        <v>68</v>
      </c>
      <c r="M66" t="s">
        <v>69</v>
      </c>
      <c r="N66" s="3">
        <v>45908</v>
      </c>
      <c r="O66">
        <v>-404.14</v>
      </c>
      <c r="P66" t="s">
        <v>56</v>
      </c>
      <c r="Q66" t="s">
        <v>65</v>
      </c>
      <c r="R66" t="s">
        <v>58</v>
      </c>
      <c r="S66" t="s">
        <v>99</v>
      </c>
      <c r="U66" t="s">
        <v>63</v>
      </c>
      <c r="V66" t="b">
        <v>1</v>
      </c>
      <c r="W66">
        <v>0</v>
      </c>
      <c r="X66">
        <v>0</v>
      </c>
      <c r="Y66" t="s">
        <v>14</v>
      </c>
    </row>
    <row r="67" spans="1:25">
      <c r="A67" t="s">
        <v>173</v>
      </c>
      <c r="B67" t="s">
        <v>173</v>
      </c>
      <c r="C67" t="s">
        <v>63</v>
      </c>
      <c r="D67" t="s">
        <v>64</v>
      </c>
      <c r="E67" s="3">
        <v>45886</v>
      </c>
      <c r="F67">
        <v>-277.54000000000002</v>
      </c>
      <c r="G67" t="s">
        <v>56</v>
      </c>
      <c r="H67" t="s">
        <v>73</v>
      </c>
      <c r="I67" t="s">
        <v>103</v>
      </c>
      <c r="J67" t="s">
        <v>85</v>
      </c>
      <c r="K67" t="s">
        <v>78</v>
      </c>
      <c r="L67" t="s">
        <v>68</v>
      </c>
      <c r="M67" t="s">
        <v>69</v>
      </c>
      <c r="N67" s="3">
        <v>45888</v>
      </c>
      <c r="O67">
        <v>-272.58999999999997</v>
      </c>
      <c r="P67" t="s">
        <v>56</v>
      </c>
      <c r="Q67" t="s">
        <v>73</v>
      </c>
      <c r="R67" t="s">
        <v>103</v>
      </c>
      <c r="S67" t="s">
        <v>85</v>
      </c>
      <c r="T67" t="s">
        <v>78</v>
      </c>
      <c r="U67" t="s">
        <v>63</v>
      </c>
      <c r="V67" t="b">
        <v>1</v>
      </c>
      <c r="W67">
        <v>-4.95</v>
      </c>
      <c r="X67">
        <v>-2</v>
      </c>
      <c r="Y67" t="s">
        <v>17</v>
      </c>
    </row>
    <row r="68" spans="1:25">
      <c r="A68" t="s">
        <v>174</v>
      </c>
      <c r="B68" t="s">
        <v>174</v>
      </c>
      <c r="C68" t="s">
        <v>63</v>
      </c>
      <c r="D68" t="s">
        <v>64</v>
      </c>
      <c r="E68" s="3">
        <v>45890</v>
      </c>
      <c r="F68">
        <v>201.6</v>
      </c>
      <c r="G68" t="s">
        <v>56</v>
      </c>
      <c r="H68" t="s">
        <v>57</v>
      </c>
      <c r="I68" t="s">
        <v>97</v>
      </c>
      <c r="J68" t="s">
        <v>99</v>
      </c>
      <c r="K68" t="s">
        <v>107</v>
      </c>
      <c r="L68" t="s">
        <v>82</v>
      </c>
      <c r="M68" t="s">
        <v>83</v>
      </c>
      <c r="N68" s="3">
        <v>45890</v>
      </c>
      <c r="O68">
        <v>201.6</v>
      </c>
      <c r="P68" t="s">
        <v>56</v>
      </c>
      <c r="Q68" t="s">
        <v>57</v>
      </c>
      <c r="R68" t="s">
        <v>97</v>
      </c>
      <c r="S68" t="s">
        <v>99</v>
      </c>
      <c r="T68" t="s">
        <v>107</v>
      </c>
      <c r="U68" t="s">
        <v>63</v>
      </c>
      <c r="V68" t="b">
        <v>1</v>
      </c>
      <c r="W68">
        <v>0</v>
      </c>
      <c r="X68">
        <v>0</v>
      </c>
      <c r="Y68" t="s">
        <v>14</v>
      </c>
    </row>
    <row r="69" spans="1:25">
      <c r="A69" t="s">
        <v>175</v>
      </c>
      <c r="B69" t="s">
        <v>175</v>
      </c>
      <c r="C69" t="s">
        <v>150</v>
      </c>
      <c r="D69" t="s">
        <v>151</v>
      </c>
      <c r="E69" s="3">
        <v>45869</v>
      </c>
      <c r="F69">
        <v>237.5</v>
      </c>
      <c r="G69" t="s">
        <v>56</v>
      </c>
      <c r="H69" t="s">
        <v>80</v>
      </c>
      <c r="I69" t="s">
        <v>97</v>
      </c>
      <c r="J69" t="s">
        <v>99</v>
      </c>
      <c r="K69" t="s">
        <v>67</v>
      </c>
      <c r="L69" t="s">
        <v>152</v>
      </c>
      <c r="M69" t="s">
        <v>153</v>
      </c>
      <c r="N69" s="3">
        <v>45869</v>
      </c>
      <c r="O69">
        <v>237.5</v>
      </c>
      <c r="P69" t="s">
        <v>56</v>
      </c>
      <c r="Q69" t="s">
        <v>80</v>
      </c>
      <c r="R69" t="s">
        <v>97</v>
      </c>
      <c r="S69" t="s">
        <v>99</v>
      </c>
      <c r="T69" t="s">
        <v>67</v>
      </c>
      <c r="U69" t="s">
        <v>150</v>
      </c>
      <c r="V69" t="b">
        <v>1</v>
      </c>
      <c r="W69">
        <v>0</v>
      </c>
      <c r="X69">
        <v>0</v>
      </c>
      <c r="Y69" t="s">
        <v>14</v>
      </c>
    </row>
    <row r="70" spans="1:25">
      <c r="A70" t="s">
        <v>176</v>
      </c>
      <c r="B70" t="s">
        <v>176</v>
      </c>
      <c r="C70" t="s">
        <v>92</v>
      </c>
      <c r="D70" t="s">
        <v>93</v>
      </c>
      <c r="E70" s="3">
        <v>45900</v>
      </c>
      <c r="F70">
        <v>-424.95</v>
      </c>
      <c r="G70" t="s">
        <v>56</v>
      </c>
      <c r="H70" t="s">
        <v>80</v>
      </c>
      <c r="I70" t="s">
        <v>58</v>
      </c>
      <c r="J70" t="s">
        <v>99</v>
      </c>
      <c r="K70" t="s">
        <v>107</v>
      </c>
      <c r="L70" t="s">
        <v>125</v>
      </c>
      <c r="M70" t="s">
        <v>126</v>
      </c>
      <c r="N70" s="3">
        <v>45900</v>
      </c>
      <c r="O70">
        <v>-424.95</v>
      </c>
      <c r="P70" t="s">
        <v>56</v>
      </c>
      <c r="Q70" t="s">
        <v>80</v>
      </c>
      <c r="R70" t="s">
        <v>58</v>
      </c>
      <c r="S70" t="s">
        <v>99</v>
      </c>
      <c r="T70" t="s">
        <v>107</v>
      </c>
      <c r="U70" t="s">
        <v>92</v>
      </c>
      <c r="V70" t="b">
        <v>1</v>
      </c>
      <c r="W70">
        <v>0</v>
      </c>
      <c r="X70">
        <v>0</v>
      </c>
      <c r="Y70" t="s">
        <v>14</v>
      </c>
    </row>
    <row r="71" spans="1:25">
      <c r="A71" t="s">
        <v>177</v>
      </c>
      <c r="B71" t="s">
        <v>177</v>
      </c>
      <c r="C71" t="s">
        <v>63</v>
      </c>
      <c r="D71" t="s">
        <v>64</v>
      </c>
      <c r="E71" s="3">
        <v>45858</v>
      </c>
      <c r="F71">
        <v>205</v>
      </c>
      <c r="G71" t="s">
        <v>56</v>
      </c>
      <c r="H71" t="s">
        <v>65</v>
      </c>
      <c r="I71" t="s">
        <v>77</v>
      </c>
      <c r="J71" t="s">
        <v>81</v>
      </c>
      <c r="K71" t="s">
        <v>67</v>
      </c>
      <c r="L71" t="s">
        <v>82</v>
      </c>
      <c r="M71" t="s">
        <v>83</v>
      </c>
      <c r="N71" s="3">
        <v>45858</v>
      </c>
      <c r="O71">
        <v>205.18</v>
      </c>
      <c r="P71" t="s">
        <v>56</v>
      </c>
      <c r="Q71" t="s">
        <v>65</v>
      </c>
      <c r="R71" t="s">
        <v>77</v>
      </c>
      <c r="S71" t="s">
        <v>81</v>
      </c>
      <c r="T71" t="s">
        <v>67</v>
      </c>
      <c r="U71" t="s">
        <v>63</v>
      </c>
      <c r="V71" t="b">
        <v>1</v>
      </c>
      <c r="W71">
        <v>-0.18</v>
      </c>
      <c r="X71">
        <v>0</v>
      </c>
      <c r="Y71" t="s">
        <v>15</v>
      </c>
    </row>
    <row r="72" spans="1:25">
      <c r="A72" t="s">
        <v>178</v>
      </c>
      <c r="B72" t="s">
        <v>178</v>
      </c>
      <c r="C72" t="s">
        <v>63</v>
      </c>
      <c r="D72" t="s">
        <v>64</v>
      </c>
      <c r="E72" s="3">
        <v>45899</v>
      </c>
      <c r="F72">
        <v>874.41</v>
      </c>
      <c r="G72" t="s">
        <v>56</v>
      </c>
      <c r="H72" t="s">
        <v>73</v>
      </c>
      <c r="I72" t="s">
        <v>77</v>
      </c>
      <c r="J72" t="s">
        <v>85</v>
      </c>
      <c r="L72" t="s">
        <v>68</v>
      </c>
      <c r="M72" t="s">
        <v>69</v>
      </c>
      <c r="N72" s="3">
        <v>45899</v>
      </c>
      <c r="O72">
        <v>874.41</v>
      </c>
      <c r="P72" t="s">
        <v>56</v>
      </c>
      <c r="Q72" t="s">
        <v>73</v>
      </c>
      <c r="R72" t="s">
        <v>77</v>
      </c>
      <c r="S72" t="s">
        <v>85</v>
      </c>
      <c r="U72" t="s">
        <v>63</v>
      </c>
      <c r="V72" t="b">
        <v>1</v>
      </c>
      <c r="W72">
        <v>0</v>
      </c>
      <c r="X72">
        <v>0</v>
      </c>
      <c r="Y72" t="s">
        <v>14</v>
      </c>
    </row>
    <row r="73" spans="1:25">
      <c r="A73" t="s">
        <v>179</v>
      </c>
      <c r="B73" t="s">
        <v>179</v>
      </c>
      <c r="C73" t="s">
        <v>71</v>
      </c>
      <c r="D73" t="s">
        <v>72</v>
      </c>
      <c r="E73" s="3">
        <v>45889</v>
      </c>
      <c r="F73">
        <v>-429.34</v>
      </c>
      <c r="G73" t="s">
        <v>56</v>
      </c>
      <c r="H73" t="s">
        <v>65</v>
      </c>
      <c r="I73" t="s">
        <v>97</v>
      </c>
      <c r="J73" t="s">
        <v>99</v>
      </c>
      <c r="K73" t="s">
        <v>78</v>
      </c>
      <c r="L73" t="s">
        <v>74</v>
      </c>
      <c r="M73" t="s">
        <v>75</v>
      </c>
      <c r="N73" s="3">
        <v>45889</v>
      </c>
      <c r="O73">
        <v>-429.34</v>
      </c>
      <c r="P73" t="s">
        <v>56</v>
      </c>
      <c r="Q73" t="s">
        <v>65</v>
      </c>
      <c r="R73" t="s">
        <v>97</v>
      </c>
      <c r="S73" t="s">
        <v>99</v>
      </c>
      <c r="T73" t="s">
        <v>78</v>
      </c>
      <c r="U73" t="s">
        <v>71</v>
      </c>
      <c r="V73" t="b">
        <v>1</v>
      </c>
      <c r="W73">
        <v>0</v>
      </c>
      <c r="X73">
        <v>0</v>
      </c>
      <c r="Y73" t="s">
        <v>14</v>
      </c>
    </row>
    <row r="74" spans="1:25">
      <c r="A74" t="s">
        <v>180</v>
      </c>
      <c r="B74" t="s">
        <v>180</v>
      </c>
      <c r="C74" t="s">
        <v>150</v>
      </c>
      <c r="D74" t="s">
        <v>151</v>
      </c>
      <c r="E74" s="3">
        <v>45882</v>
      </c>
      <c r="F74">
        <v>527.16</v>
      </c>
      <c r="G74" t="s">
        <v>56</v>
      </c>
      <c r="H74" t="s">
        <v>57</v>
      </c>
      <c r="I74" t="s">
        <v>97</v>
      </c>
      <c r="J74" t="s">
        <v>66</v>
      </c>
      <c r="K74" t="s">
        <v>107</v>
      </c>
      <c r="L74" t="s">
        <v>152</v>
      </c>
      <c r="M74" t="s">
        <v>153</v>
      </c>
      <c r="N74" s="3">
        <v>45882</v>
      </c>
      <c r="O74">
        <v>527.16</v>
      </c>
      <c r="P74" t="s">
        <v>56</v>
      </c>
      <c r="Q74" t="s">
        <v>57</v>
      </c>
      <c r="R74" t="s">
        <v>97</v>
      </c>
      <c r="S74" t="s">
        <v>66</v>
      </c>
      <c r="T74" t="s">
        <v>107</v>
      </c>
      <c r="U74" t="s">
        <v>150</v>
      </c>
      <c r="V74" t="b">
        <v>1</v>
      </c>
      <c r="W74">
        <v>0</v>
      </c>
      <c r="X74">
        <v>0</v>
      </c>
      <c r="Y74" t="s">
        <v>14</v>
      </c>
    </row>
    <row r="75" spans="1:25">
      <c r="A75" t="s">
        <v>181</v>
      </c>
      <c r="B75" t="s">
        <v>181</v>
      </c>
      <c r="C75" t="s">
        <v>87</v>
      </c>
      <c r="D75" t="s">
        <v>88</v>
      </c>
      <c r="E75" s="3">
        <v>45884</v>
      </c>
      <c r="F75">
        <v>-859.56</v>
      </c>
      <c r="G75" t="s">
        <v>56</v>
      </c>
      <c r="H75" t="s">
        <v>57</v>
      </c>
      <c r="I75" t="s">
        <v>77</v>
      </c>
      <c r="K75" t="s">
        <v>59</v>
      </c>
      <c r="L75" t="s">
        <v>100</v>
      </c>
      <c r="M75" t="s">
        <v>101</v>
      </c>
      <c r="N75" s="3">
        <v>45884</v>
      </c>
      <c r="O75">
        <v>-859.56</v>
      </c>
      <c r="P75" t="s">
        <v>56</v>
      </c>
      <c r="Q75" t="s">
        <v>57</v>
      </c>
      <c r="R75" t="s">
        <v>77</v>
      </c>
      <c r="T75" t="s">
        <v>59</v>
      </c>
      <c r="U75" t="s">
        <v>87</v>
      </c>
      <c r="V75" t="b">
        <v>1</v>
      </c>
      <c r="W75">
        <v>0</v>
      </c>
      <c r="X75">
        <v>0</v>
      </c>
      <c r="Y75" t="s">
        <v>14</v>
      </c>
    </row>
    <row r="76" spans="1:25">
      <c r="A76" t="s">
        <v>182</v>
      </c>
      <c r="B76" t="s">
        <v>182</v>
      </c>
      <c r="C76" t="s">
        <v>87</v>
      </c>
      <c r="D76" t="s">
        <v>88</v>
      </c>
      <c r="E76" s="3">
        <v>45895</v>
      </c>
      <c r="F76">
        <v>-875.83</v>
      </c>
      <c r="G76" t="s">
        <v>56</v>
      </c>
      <c r="H76" t="s">
        <v>80</v>
      </c>
      <c r="I76" t="s">
        <v>58</v>
      </c>
      <c r="J76" t="s">
        <v>117</v>
      </c>
      <c r="K76" t="s">
        <v>78</v>
      </c>
      <c r="L76" t="s">
        <v>100</v>
      </c>
      <c r="M76" t="s">
        <v>101</v>
      </c>
      <c r="N76" s="3">
        <v>45895</v>
      </c>
      <c r="O76">
        <v>-875.83</v>
      </c>
      <c r="P76" t="s">
        <v>56</v>
      </c>
      <c r="Q76" t="s">
        <v>80</v>
      </c>
      <c r="R76" t="s">
        <v>58</v>
      </c>
      <c r="S76" t="s">
        <v>117</v>
      </c>
      <c r="T76" t="s">
        <v>78</v>
      </c>
      <c r="U76" t="s">
        <v>87</v>
      </c>
      <c r="V76" t="b">
        <v>1</v>
      </c>
      <c r="W76">
        <v>0</v>
      </c>
      <c r="X76">
        <v>0</v>
      </c>
      <c r="Y76" t="s">
        <v>14</v>
      </c>
    </row>
    <row r="77" spans="1:25">
      <c r="A77" t="s">
        <v>183</v>
      </c>
      <c r="B77" t="s">
        <v>183</v>
      </c>
      <c r="C77" t="s">
        <v>150</v>
      </c>
      <c r="D77" t="s">
        <v>151</v>
      </c>
      <c r="E77" s="3">
        <v>45874</v>
      </c>
      <c r="F77">
        <v>446.82</v>
      </c>
      <c r="G77" t="s">
        <v>56</v>
      </c>
      <c r="H77" t="s">
        <v>80</v>
      </c>
      <c r="I77" t="s">
        <v>103</v>
      </c>
      <c r="J77" t="s">
        <v>99</v>
      </c>
      <c r="K77" t="s">
        <v>59</v>
      </c>
      <c r="L77" t="s">
        <v>152</v>
      </c>
      <c r="M77" t="s">
        <v>153</v>
      </c>
      <c r="N77" s="3">
        <v>45874</v>
      </c>
      <c r="O77">
        <v>446.82</v>
      </c>
      <c r="P77" t="s">
        <v>56</v>
      </c>
      <c r="Q77" t="s">
        <v>80</v>
      </c>
      <c r="R77" t="s">
        <v>103</v>
      </c>
      <c r="S77" t="s">
        <v>99</v>
      </c>
      <c r="T77" t="s">
        <v>59</v>
      </c>
      <c r="U77" t="s">
        <v>150</v>
      </c>
      <c r="V77" t="b">
        <v>1</v>
      </c>
      <c r="W77">
        <v>0</v>
      </c>
      <c r="X77">
        <v>0</v>
      </c>
      <c r="Y77" t="s">
        <v>14</v>
      </c>
    </row>
    <row r="78" spans="1:25">
      <c r="A78" t="s">
        <v>184</v>
      </c>
      <c r="B78" t="s">
        <v>184</v>
      </c>
      <c r="C78" t="s">
        <v>54</v>
      </c>
      <c r="D78" t="s">
        <v>55</v>
      </c>
      <c r="E78" s="3">
        <v>45872</v>
      </c>
      <c r="F78">
        <v>-582.99</v>
      </c>
      <c r="G78" t="s">
        <v>56</v>
      </c>
      <c r="H78" t="s">
        <v>80</v>
      </c>
      <c r="I78" t="s">
        <v>97</v>
      </c>
      <c r="J78" t="s">
        <v>99</v>
      </c>
      <c r="K78" t="s">
        <v>78</v>
      </c>
      <c r="L78" t="s">
        <v>60</v>
      </c>
      <c r="M78" t="s">
        <v>61</v>
      </c>
      <c r="N78" s="3">
        <v>45874</v>
      </c>
      <c r="O78">
        <v>-582.61</v>
      </c>
      <c r="P78" t="s">
        <v>56</v>
      </c>
      <c r="Q78" t="s">
        <v>80</v>
      </c>
      <c r="R78" t="s">
        <v>97</v>
      </c>
      <c r="S78" t="s">
        <v>99</v>
      </c>
      <c r="T78" t="s">
        <v>78</v>
      </c>
      <c r="U78" t="s">
        <v>54</v>
      </c>
      <c r="V78" t="b">
        <v>1</v>
      </c>
      <c r="W78">
        <v>-0.38</v>
      </c>
      <c r="X78">
        <v>-2</v>
      </c>
      <c r="Y78" t="s">
        <v>15</v>
      </c>
    </row>
    <row r="79" spans="1:25">
      <c r="A79" t="s">
        <v>185</v>
      </c>
      <c r="B79" t="s">
        <v>185</v>
      </c>
      <c r="C79" t="s">
        <v>63</v>
      </c>
      <c r="D79" t="s">
        <v>64</v>
      </c>
      <c r="E79" s="3">
        <v>45878</v>
      </c>
      <c r="F79">
        <v>-683.76</v>
      </c>
      <c r="G79" t="s">
        <v>56</v>
      </c>
      <c r="H79" t="s">
        <v>73</v>
      </c>
      <c r="I79" t="s">
        <v>103</v>
      </c>
      <c r="J79" t="s">
        <v>85</v>
      </c>
      <c r="K79" t="s">
        <v>105</v>
      </c>
      <c r="L79" t="s">
        <v>82</v>
      </c>
      <c r="M79" t="s">
        <v>83</v>
      </c>
      <c r="N79" s="3">
        <v>45878</v>
      </c>
      <c r="O79">
        <v>-683.76</v>
      </c>
      <c r="P79" t="s">
        <v>56</v>
      </c>
      <c r="Q79" t="s">
        <v>73</v>
      </c>
      <c r="R79" t="s">
        <v>103</v>
      </c>
      <c r="S79" t="s">
        <v>85</v>
      </c>
      <c r="T79" t="s">
        <v>105</v>
      </c>
      <c r="U79" t="s">
        <v>63</v>
      </c>
      <c r="V79" t="b">
        <v>1</v>
      </c>
      <c r="W79">
        <v>0</v>
      </c>
      <c r="X79">
        <v>0</v>
      </c>
      <c r="Y79" t="s">
        <v>14</v>
      </c>
    </row>
    <row r="80" spans="1:25">
      <c r="A80" t="s">
        <v>186</v>
      </c>
      <c r="B80" t="s">
        <v>186</v>
      </c>
      <c r="C80" t="s">
        <v>87</v>
      </c>
      <c r="D80" t="s">
        <v>88</v>
      </c>
      <c r="E80" s="3">
        <v>45872</v>
      </c>
      <c r="F80">
        <v>451.79</v>
      </c>
      <c r="G80" t="s">
        <v>56</v>
      </c>
      <c r="H80" t="s">
        <v>57</v>
      </c>
      <c r="I80" t="s">
        <v>58</v>
      </c>
      <c r="J80" t="s">
        <v>99</v>
      </c>
      <c r="L80" t="s">
        <v>89</v>
      </c>
      <c r="M80" t="s">
        <v>90</v>
      </c>
      <c r="N80" s="3">
        <v>45872</v>
      </c>
      <c r="O80">
        <v>451.79</v>
      </c>
      <c r="P80" t="s">
        <v>56</v>
      </c>
      <c r="Q80" t="s">
        <v>57</v>
      </c>
      <c r="R80" t="s">
        <v>58</v>
      </c>
      <c r="S80" t="s">
        <v>99</v>
      </c>
      <c r="U80" t="s">
        <v>87</v>
      </c>
      <c r="V80" t="b">
        <v>1</v>
      </c>
      <c r="W80">
        <v>0</v>
      </c>
      <c r="X80">
        <v>0</v>
      </c>
      <c r="Y80" t="s">
        <v>14</v>
      </c>
    </row>
    <row r="81" spans="1:25">
      <c r="A81" t="s">
        <v>187</v>
      </c>
      <c r="B81" t="s">
        <v>187</v>
      </c>
      <c r="C81" t="s">
        <v>63</v>
      </c>
      <c r="D81" t="s">
        <v>64</v>
      </c>
      <c r="E81" s="3">
        <v>45866</v>
      </c>
      <c r="F81">
        <v>-55.5</v>
      </c>
      <c r="G81" t="s">
        <v>56</v>
      </c>
      <c r="H81" t="s">
        <v>57</v>
      </c>
      <c r="I81" t="s">
        <v>77</v>
      </c>
      <c r="J81" t="s">
        <v>66</v>
      </c>
      <c r="K81" t="s">
        <v>138</v>
      </c>
      <c r="L81" t="s">
        <v>68</v>
      </c>
      <c r="M81" t="s">
        <v>69</v>
      </c>
      <c r="N81" s="3">
        <v>45867</v>
      </c>
      <c r="O81">
        <v>-46.61</v>
      </c>
      <c r="P81" t="s">
        <v>56</v>
      </c>
      <c r="Q81" t="s">
        <v>57</v>
      </c>
      <c r="R81" t="s">
        <v>77</v>
      </c>
      <c r="S81" t="s">
        <v>66</v>
      </c>
      <c r="T81" t="s">
        <v>138</v>
      </c>
      <c r="U81" t="s">
        <v>63</v>
      </c>
      <c r="V81" t="b">
        <v>1</v>
      </c>
      <c r="W81">
        <v>-8.89</v>
      </c>
      <c r="X81">
        <v>-1</v>
      </c>
      <c r="Y81" t="s">
        <v>17</v>
      </c>
    </row>
    <row r="82" spans="1:25">
      <c r="A82" t="s">
        <v>188</v>
      </c>
      <c r="B82" t="s">
        <v>188</v>
      </c>
      <c r="C82" t="s">
        <v>87</v>
      </c>
      <c r="D82" t="s">
        <v>88</v>
      </c>
      <c r="E82" s="3">
        <v>45897</v>
      </c>
      <c r="F82">
        <v>-663.68</v>
      </c>
      <c r="G82" t="s">
        <v>56</v>
      </c>
      <c r="H82" t="s">
        <v>65</v>
      </c>
      <c r="I82" t="s">
        <v>77</v>
      </c>
      <c r="K82" t="s">
        <v>138</v>
      </c>
      <c r="L82" t="s">
        <v>100</v>
      </c>
      <c r="M82" t="s">
        <v>101</v>
      </c>
      <c r="N82" s="3">
        <v>45897</v>
      </c>
      <c r="O82">
        <v>-663.68</v>
      </c>
      <c r="P82" t="s">
        <v>56</v>
      </c>
      <c r="Q82" t="s">
        <v>65</v>
      </c>
      <c r="R82" t="s">
        <v>77</v>
      </c>
      <c r="T82" t="s">
        <v>138</v>
      </c>
      <c r="U82" t="s">
        <v>87</v>
      </c>
      <c r="V82" t="b">
        <v>1</v>
      </c>
      <c r="W82">
        <v>0</v>
      </c>
      <c r="X82">
        <v>0</v>
      </c>
      <c r="Y82" t="s">
        <v>14</v>
      </c>
    </row>
    <row r="83" spans="1:25">
      <c r="A83" t="s">
        <v>189</v>
      </c>
      <c r="B83" t="s">
        <v>189</v>
      </c>
      <c r="C83" t="s">
        <v>92</v>
      </c>
      <c r="D83" t="s">
        <v>93</v>
      </c>
      <c r="E83" s="3">
        <v>45866</v>
      </c>
      <c r="F83">
        <v>-723.59</v>
      </c>
      <c r="G83" t="s">
        <v>56</v>
      </c>
      <c r="H83" t="s">
        <v>65</v>
      </c>
      <c r="I83" t="s">
        <v>58</v>
      </c>
      <c r="L83" t="s">
        <v>94</v>
      </c>
      <c r="M83" t="s">
        <v>95</v>
      </c>
      <c r="N83" s="3">
        <v>45869</v>
      </c>
      <c r="O83">
        <v>-719.22</v>
      </c>
      <c r="P83" t="s">
        <v>56</v>
      </c>
      <c r="Q83" t="s">
        <v>65</v>
      </c>
      <c r="R83" t="s">
        <v>58</v>
      </c>
      <c r="U83" t="s">
        <v>92</v>
      </c>
      <c r="V83" t="b">
        <v>1</v>
      </c>
      <c r="W83">
        <v>-4.37</v>
      </c>
      <c r="X83">
        <v>-3</v>
      </c>
      <c r="Y83" t="s">
        <v>17</v>
      </c>
    </row>
    <row r="84" spans="1:25">
      <c r="A84" t="s">
        <v>190</v>
      </c>
      <c r="B84" t="s">
        <v>190</v>
      </c>
      <c r="C84" t="s">
        <v>92</v>
      </c>
      <c r="D84" t="s">
        <v>93</v>
      </c>
      <c r="E84" s="3">
        <v>45897</v>
      </c>
      <c r="F84">
        <v>603.88</v>
      </c>
      <c r="G84" t="s">
        <v>56</v>
      </c>
      <c r="H84" t="s">
        <v>65</v>
      </c>
      <c r="I84" t="s">
        <v>58</v>
      </c>
      <c r="K84" t="s">
        <v>105</v>
      </c>
      <c r="L84" t="s">
        <v>125</v>
      </c>
      <c r="M84" t="s">
        <v>126</v>
      </c>
      <c r="N84" s="3">
        <v>45897</v>
      </c>
      <c r="O84">
        <v>603.17999999999995</v>
      </c>
      <c r="P84" t="s">
        <v>56</v>
      </c>
      <c r="Q84" t="s">
        <v>65</v>
      </c>
      <c r="R84" t="s">
        <v>58</v>
      </c>
      <c r="T84" t="s">
        <v>105</v>
      </c>
      <c r="U84" t="s">
        <v>92</v>
      </c>
      <c r="V84" t="b">
        <v>1</v>
      </c>
      <c r="W84">
        <v>0.7</v>
      </c>
      <c r="X84">
        <v>0</v>
      </c>
      <c r="Y84" t="s">
        <v>15</v>
      </c>
    </row>
    <row r="85" spans="1:25">
      <c r="A85" t="s">
        <v>191</v>
      </c>
      <c r="B85" t="s">
        <v>191</v>
      </c>
      <c r="C85" t="s">
        <v>119</v>
      </c>
      <c r="D85" t="s">
        <v>120</v>
      </c>
      <c r="E85" s="3">
        <v>45908</v>
      </c>
      <c r="F85">
        <v>269.11</v>
      </c>
      <c r="G85" t="s">
        <v>56</v>
      </c>
      <c r="H85" t="s">
        <v>65</v>
      </c>
      <c r="I85" t="s">
        <v>58</v>
      </c>
      <c r="J85" t="s">
        <v>66</v>
      </c>
      <c r="K85" t="s">
        <v>107</v>
      </c>
      <c r="L85" t="s">
        <v>121</v>
      </c>
      <c r="M85" t="s">
        <v>122</v>
      </c>
      <c r="N85" s="3">
        <v>45908</v>
      </c>
      <c r="O85">
        <v>269.11</v>
      </c>
      <c r="P85" t="s">
        <v>56</v>
      </c>
      <c r="Q85" t="s">
        <v>65</v>
      </c>
      <c r="R85" t="s">
        <v>58</v>
      </c>
      <c r="S85" t="s">
        <v>66</v>
      </c>
      <c r="T85" t="s">
        <v>107</v>
      </c>
      <c r="U85" t="s">
        <v>119</v>
      </c>
      <c r="V85" t="b">
        <v>1</v>
      </c>
      <c r="W85">
        <v>0</v>
      </c>
      <c r="X85">
        <v>0</v>
      </c>
      <c r="Y85" t="s">
        <v>14</v>
      </c>
    </row>
    <row r="86" spans="1:25">
      <c r="A86" t="s">
        <v>192</v>
      </c>
      <c r="B86" t="s">
        <v>192</v>
      </c>
      <c r="C86" t="s">
        <v>150</v>
      </c>
      <c r="D86" t="s">
        <v>151</v>
      </c>
      <c r="E86" s="3">
        <v>45897</v>
      </c>
      <c r="F86">
        <v>-450.99</v>
      </c>
      <c r="G86" t="s">
        <v>56</v>
      </c>
      <c r="H86" t="s">
        <v>57</v>
      </c>
      <c r="I86" t="s">
        <v>77</v>
      </c>
      <c r="K86" t="s">
        <v>67</v>
      </c>
      <c r="L86" t="s">
        <v>152</v>
      </c>
      <c r="M86" t="s">
        <v>153</v>
      </c>
      <c r="N86" s="3">
        <v>45897</v>
      </c>
      <c r="O86">
        <v>-450.99</v>
      </c>
      <c r="P86" t="s">
        <v>56</v>
      </c>
      <c r="Q86" t="s">
        <v>57</v>
      </c>
      <c r="R86" t="s">
        <v>77</v>
      </c>
      <c r="T86" t="s">
        <v>67</v>
      </c>
      <c r="U86" t="s">
        <v>150</v>
      </c>
      <c r="V86" t="b">
        <v>1</v>
      </c>
      <c r="W86">
        <v>0</v>
      </c>
      <c r="X86">
        <v>0</v>
      </c>
      <c r="Y86" t="s">
        <v>14</v>
      </c>
    </row>
    <row r="87" spans="1:25">
      <c r="A87" t="s">
        <v>193</v>
      </c>
      <c r="B87" t="s">
        <v>193</v>
      </c>
      <c r="C87" t="s">
        <v>92</v>
      </c>
      <c r="D87" t="s">
        <v>93</v>
      </c>
      <c r="E87" s="3">
        <v>45860</v>
      </c>
      <c r="F87">
        <v>352.31</v>
      </c>
      <c r="G87" t="s">
        <v>56</v>
      </c>
      <c r="H87" t="s">
        <v>65</v>
      </c>
      <c r="I87" t="s">
        <v>77</v>
      </c>
      <c r="J87" t="s">
        <v>99</v>
      </c>
      <c r="K87" t="s">
        <v>107</v>
      </c>
      <c r="L87" t="s">
        <v>125</v>
      </c>
      <c r="M87" t="s">
        <v>126</v>
      </c>
      <c r="N87" s="3">
        <v>45860</v>
      </c>
      <c r="O87">
        <v>352.31</v>
      </c>
      <c r="P87" t="s">
        <v>56</v>
      </c>
      <c r="Q87" t="s">
        <v>65</v>
      </c>
      <c r="R87" t="s">
        <v>77</v>
      </c>
      <c r="S87" t="s">
        <v>99</v>
      </c>
      <c r="T87" t="s">
        <v>107</v>
      </c>
      <c r="U87" t="s">
        <v>92</v>
      </c>
      <c r="V87" t="b">
        <v>1</v>
      </c>
      <c r="W87">
        <v>0</v>
      </c>
      <c r="X87">
        <v>0</v>
      </c>
      <c r="Y87" t="s">
        <v>14</v>
      </c>
    </row>
    <row r="88" spans="1:25">
      <c r="A88" t="s">
        <v>194</v>
      </c>
      <c r="B88" t="s">
        <v>194</v>
      </c>
      <c r="C88" t="s">
        <v>92</v>
      </c>
      <c r="D88" t="s">
        <v>93</v>
      </c>
      <c r="E88" s="3">
        <v>45908</v>
      </c>
      <c r="F88">
        <v>-425.07</v>
      </c>
      <c r="G88" t="s">
        <v>56</v>
      </c>
      <c r="H88" t="s">
        <v>57</v>
      </c>
      <c r="I88" t="s">
        <v>58</v>
      </c>
      <c r="J88" t="s">
        <v>109</v>
      </c>
      <c r="K88" t="s">
        <v>105</v>
      </c>
      <c r="L88" t="s">
        <v>94</v>
      </c>
      <c r="M88" t="s">
        <v>95</v>
      </c>
      <c r="N88" s="3">
        <v>45908</v>
      </c>
      <c r="O88">
        <v>-425.07</v>
      </c>
      <c r="P88" t="s">
        <v>56</v>
      </c>
      <c r="Q88" t="s">
        <v>57</v>
      </c>
      <c r="R88" t="s">
        <v>58</v>
      </c>
      <c r="S88" t="s">
        <v>109</v>
      </c>
      <c r="T88" t="s">
        <v>105</v>
      </c>
      <c r="U88" t="s">
        <v>92</v>
      </c>
      <c r="V88" t="b">
        <v>1</v>
      </c>
      <c r="W88">
        <v>0</v>
      </c>
      <c r="X88">
        <v>0</v>
      </c>
      <c r="Y88" t="s">
        <v>14</v>
      </c>
    </row>
    <row r="89" spans="1:25">
      <c r="A89" t="s">
        <v>195</v>
      </c>
      <c r="B89" t="s">
        <v>195</v>
      </c>
      <c r="C89" t="s">
        <v>92</v>
      </c>
      <c r="D89" t="s">
        <v>93</v>
      </c>
      <c r="E89" s="3">
        <v>45873</v>
      </c>
      <c r="F89">
        <v>824.22</v>
      </c>
      <c r="G89" t="s">
        <v>56</v>
      </c>
      <c r="H89" t="s">
        <v>80</v>
      </c>
      <c r="I89" t="s">
        <v>97</v>
      </c>
      <c r="J89" t="s">
        <v>109</v>
      </c>
      <c r="L89" t="s">
        <v>94</v>
      </c>
      <c r="M89" t="s">
        <v>95</v>
      </c>
      <c r="N89" s="3">
        <v>45873</v>
      </c>
      <c r="O89">
        <v>824.22</v>
      </c>
      <c r="P89" t="s">
        <v>56</v>
      </c>
      <c r="Q89" t="s">
        <v>80</v>
      </c>
      <c r="R89" t="s">
        <v>97</v>
      </c>
      <c r="S89" t="s">
        <v>109</v>
      </c>
      <c r="U89" t="s">
        <v>92</v>
      </c>
      <c r="V89" t="b">
        <v>1</v>
      </c>
      <c r="W89">
        <v>0</v>
      </c>
      <c r="X89">
        <v>0</v>
      </c>
      <c r="Y89" t="s">
        <v>14</v>
      </c>
    </row>
    <row r="90" spans="1:25">
      <c r="A90" t="s">
        <v>196</v>
      </c>
      <c r="B90" t="s">
        <v>196</v>
      </c>
      <c r="C90" t="s">
        <v>87</v>
      </c>
      <c r="D90" t="s">
        <v>88</v>
      </c>
      <c r="E90" s="3">
        <v>45871</v>
      </c>
      <c r="F90">
        <v>882.39</v>
      </c>
      <c r="G90" t="s">
        <v>56</v>
      </c>
      <c r="H90" t="s">
        <v>73</v>
      </c>
      <c r="I90" t="s">
        <v>77</v>
      </c>
      <c r="K90" t="s">
        <v>67</v>
      </c>
      <c r="L90" t="s">
        <v>89</v>
      </c>
      <c r="M90" t="s">
        <v>90</v>
      </c>
      <c r="N90" s="3">
        <v>45871</v>
      </c>
      <c r="O90">
        <v>882.39</v>
      </c>
      <c r="P90" t="s">
        <v>56</v>
      </c>
      <c r="Q90" t="s">
        <v>73</v>
      </c>
      <c r="R90" t="s">
        <v>77</v>
      </c>
      <c r="T90" t="s">
        <v>67</v>
      </c>
      <c r="U90" t="s">
        <v>87</v>
      </c>
      <c r="V90" t="b">
        <v>1</v>
      </c>
      <c r="W90">
        <v>0</v>
      </c>
      <c r="X90">
        <v>0</v>
      </c>
      <c r="Y90" t="s">
        <v>14</v>
      </c>
    </row>
    <row r="91" spans="1:25">
      <c r="A91" t="s">
        <v>197</v>
      </c>
      <c r="B91" t="s">
        <v>197</v>
      </c>
      <c r="C91" t="s">
        <v>63</v>
      </c>
      <c r="D91" t="s">
        <v>64</v>
      </c>
      <c r="E91" s="3">
        <v>45887</v>
      </c>
      <c r="F91">
        <v>667.35</v>
      </c>
      <c r="G91" t="s">
        <v>56</v>
      </c>
      <c r="H91" t="s">
        <v>80</v>
      </c>
      <c r="I91" t="s">
        <v>58</v>
      </c>
      <c r="J91" t="s">
        <v>85</v>
      </c>
      <c r="K91" t="s">
        <v>105</v>
      </c>
      <c r="L91" t="s">
        <v>68</v>
      </c>
      <c r="M91" t="s">
        <v>69</v>
      </c>
      <c r="N91" s="3">
        <v>45887</v>
      </c>
      <c r="O91">
        <v>667.35</v>
      </c>
      <c r="P91" t="s">
        <v>56</v>
      </c>
      <c r="Q91" t="s">
        <v>80</v>
      </c>
      <c r="R91" t="s">
        <v>58</v>
      </c>
      <c r="S91" t="s">
        <v>85</v>
      </c>
      <c r="T91" t="s">
        <v>105</v>
      </c>
      <c r="U91" t="s">
        <v>63</v>
      </c>
      <c r="V91" t="b">
        <v>1</v>
      </c>
      <c r="W91">
        <v>0</v>
      </c>
      <c r="X91">
        <v>0</v>
      </c>
      <c r="Y91" t="s">
        <v>14</v>
      </c>
    </row>
    <row r="92" spans="1:25">
      <c r="A92" t="s">
        <v>198</v>
      </c>
      <c r="B92" t="s">
        <v>198</v>
      </c>
      <c r="C92" t="s">
        <v>87</v>
      </c>
      <c r="D92" t="s">
        <v>88</v>
      </c>
      <c r="E92" s="3">
        <v>45861</v>
      </c>
      <c r="F92">
        <v>637.19000000000005</v>
      </c>
      <c r="G92" t="s">
        <v>56</v>
      </c>
      <c r="H92" t="s">
        <v>80</v>
      </c>
      <c r="I92" t="s">
        <v>103</v>
      </c>
      <c r="J92" t="s">
        <v>109</v>
      </c>
      <c r="K92" t="s">
        <v>105</v>
      </c>
      <c r="L92" t="s">
        <v>89</v>
      </c>
      <c r="M92" t="s">
        <v>90</v>
      </c>
      <c r="N92" s="3">
        <v>45863</v>
      </c>
      <c r="O92">
        <v>637.54999999999995</v>
      </c>
      <c r="P92" t="s">
        <v>56</v>
      </c>
      <c r="Q92" t="s">
        <v>80</v>
      </c>
      <c r="R92" t="s">
        <v>103</v>
      </c>
      <c r="S92" t="s">
        <v>109</v>
      </c>
      <c r="T92" t="s">
        <v>105</v>
      </c>
      <c r="U92" t="s">
        <v>87</v>
      </c>
      <c r="V92" t="b">
        <v>1</v>
      </c>
      <c r="W92">
        <v>-0.36</v>
      </c>
      <c r="X92">
        <v>-2</v>
      </c>
      <c r="Y92" t="s">
        <v>15</v>
      </c>
    </row>
    <row r="93" spans="1:25">
      <c r="A93" t="s">
        <v>199</v>
      </c>
      <c r="B93" t="s">
        <v>199</v>
      </c>
      <c r="C93" t="s">
        <v>87</v>
      </c>
      <c r="D93" t="s">
        <v>88</v>
      </c>
      <c r="E93" s="3">
        <v>45896</v>
      </c>
      <c r="F93">
        <v>669.16</v>
      </c>
      <c r="G93" t="s">
        <v>56</v>
      </c>
      <c r="H93" t="s">
        <v>57</v>
      </c>
      <c r="I93" t="s">
        <v>77</v>
      </c>
      <c r="J93" t="s">
        <v>66</v>
      </c>
      <c r="K93" t="s">
        <v>67</v>
      </c>
      <c r="L93" t="s">
        <v>100</v>
      </c>
      <c r="M93" t="s">
        <v>101</v>
      </c>
      <c r="N93" s="3">
        <v>45896</v>
      </c>
      <c r="O93">
        <v>669.16</v>
      </c>
      <c r="P93" t="s">
        <v>56</v>
      </c>
      <c r="Q93" t="s">
        <v>57</v>
      </c>
      <c r="R93" t="s">
        <v>77</v>
      </c>
      <c r="S93" t="s">
        <v>66</v>
      </c>
      <c r="T93" t="s">
        <v>67</v>
      </c>
      <c r="U93" t="s">
        <v>87</v>
      </c>
      <c r="V93" t="b">
        <v>1</v>
      </c>
      <c r="W93">
        <v>0</v>
      </c>
      <c r="X93">
        <v>0</v>
      </c>
      <c r="Y93" t="s">
        <v>14</v>
      </c>
    </row>
    <row r="94" spans="1:25">
      <c r="A94" t="s">
        <v>200</v>
      </c>
      <c r="B94" t="s">
        <v>200</v>
      </c>
      <c r="C94" t="s">
        <v>87</v>
      </c>
      <c r="D94" t="s">
        <v>88</v>
      </c>
      <c r="E94" s="3">
        <v>45900</v>
      </c>
      <c r="F94">
        <v>-496.94</v>
      </c>
      <c r="G94" t="s">
        <v>56</v>
      </c>
      <c r="H94" t="s">
        <v>65</v>
      </c>
      <c r="I94" t="s">
        <v>77</v>
      </c>
      <c r="J94" t="s">
        <v>99</v>
      </c>
      <c r="K94" t="s">
        <v>105</v>
      </c>
      <c r="L94" t="s">
        <v>100</v>
      </c>
      <c r="M94" t="s">
        <v>101</v>
      </c>
      <c r="N94" s="3">
        <v>45899</v>
      </c>
      <c r="O94">
        <v>-496.97</v>
      </c>
      <c r="P94" t="s">
        <v>56</v>
      </c>
      <c r="Q94" t="s">
        <v>65</v>
      </c>
      <c r="R94" t="s">
        <v>77</v>
      </c>
      <c r="S94" t="s">
        <v>99</v>
      </c>
      <c r="T94" t="s">
        <v>105</v>
      </c>
      <c r="U94" t="s">
        <v>87</v>
      </c>
      <c r="V94" t="b">
        <v>1</v>
      </c>
      <c r="W94">
        <v>0.03</v>
      </c>
      <c r="X94">
        <v>1</v>
      </c>
      <c r="Y94" t="s">
        <v>15</v>
      </c>
    </row>
    <row r="95" spans="1:25">
      <c r="A95" t="s">
        <v>201</v>
      </c>
      <c r="B95" t="s">
        <v>201</v>
      </c>
      <c r="C95" t="s">
        <v>92</v>
      </c>
      <c r="D95" t="s">
        <v>93</v>
      </c>
      <c r="E95" s="3">
        <v>45875</v>
      </c>
      <c r="F95">
        <v>481.08</v>
      </c>
      <c r="G95" t="s">
        <v>56</v>
      </c>
      <c r="H95" t="s">
        <v>73</v>
      </c>
      <c r="I95" t="s">
        <v>58</v>
      </c>
      <c r="J95" t="s">
        <v>85</v>
      </c>
      <c r="K95" t="s">
        <v>78</v>
      </c>
      <c r="L95" t="s">
        <v>125</v>
      </c>
      <c r="M95" t="s">
        <v>126</v>
      </c>
      <c r="N95" s="3">
        <v>45877</v>
      </c>
      <c r="O95">
        <v>480.1</v>
      </c>
      <c r="P95" t="s">
        <v>56</v>
      </c>
      <c r="Q95" t="s">
        <v>73</v>
      </c>
      <c r="R95" t="s">
        <v>58</v>
      </c>
      <c r="S95" t="s">
        <v>85</v>
      </c>
      <c r="T95" t="s">
        <v>78</v>
      </c>
      <c r="U95" t="s">
        <v>92</v>
      </c>
      <c r="V95" t="b">
        <v>1</v>
      </c>
      <c r="W95">
        <v>0.98</v>
      </c>
      <c r="X95">
        <v>-2</v>
      </c>
      <c r="Y95" t="s">
        <v>15</v>
      </c>
    </row>
    <row r="96" spans="1:25">
      <c r="A96" t="s">
        <v>202</v>
      </c>
      <c r="B96" t="s">
        <v>202</v>
      </c>
      <c r="C96" t="s">
        <v>87</v>
      </c>
      <c r="D96" t="s">
        <v>88</v>
      </c>
      <c r="E96" s="3">
        <v>45862</v>
      </c>
      <c r="F96">
        <v>331.59</v>
      </c>
      <c r="G96" t="s">
        <v>56</v>
      </c>
      <c r="H96" t="s">
        <v>57</v>
      </c>
      <c r="I96" t="s">
        <v>103</v>
      </c>
      <c r="J96" t="s">
        <v>117</v>
      </c>
      <c r="K96" t="s">
        <v>107</v>
      </c>
      <c r="L96" t="s">
        <v>100</v>
      </c>
      <c r="M96" t="s">
        <v>101</v>
      </c>
      <c r="N96" s="3">
        <v>45860</v>
      </c>
      <c r="O96">
        <v>344.27</v>
      </c>
      <c r="P96" t="s">
        <v>56</v>
      </c>
      <c r="Q96" t="s">
        <v>57</v>
      </c>
      <c r="R96" t="s">
        <v>103</v>
      </c>
      <c r="S96" t="s">
        <v>117</v>
      </c>
      <c r="T96" t="s">
        <v>107</v>
      </c>
      <c r="U96" t="s">
        <v>87</v>
      </c>
      <c r="V96" t="b">
        <v>1</v>
      </c>
      <c r="W96">
        <v>-12.68</v>
      </c>
      <c r="X96">
        <v>2</v>
      </c>
      <c r="Y96" t="s">
        <v>17</v>
      </c>
    </row>
    <row r="97" spans="1:25">
      <c r="A97" t="s">
        <v>203</v>
      </c>
      <c r="B97" t="s">
        <v>203</v>
      </c>
      <c r="C97" t="s">
        <v>92</v>
      </c>
      <c r="D97" t="s">
        <v>93</v>
      </c>
      <c r="E97" s="3">
        <v>45885</v>
      </c>
      <c r="F97">
        <v>486.03</v>
      </c>
      <c r="G97" t="s">
        <v>56</v>
      </c>
      <c r="H97" t="s">
        <v>73</v>
      </c>
      <c r="I97" t="s">
        <v>97</v>
      </c>
      <c r="J97" t="s">
        <v>81</v>
      </c>
      <c r="K97" t="s">
        <v>107</v>
      </c>
      <c r="L97" t="s">
        <v>125</v>
      </c>
      <c r="M97" t="s">
        <v>126</v>
      </c>
      <c r="N97" s="3">
        <v>45885</v>
      </c>
      <c r="O97">
        <v>486.03</v>
      </c>
      <c r="P97" t="s">
        <v>56</v>
      </c>
      <c r="Q97" t="s">
        <v>73</v>
      </c>
      <c r="R97" t="s">
        <v>97</v>
      </c>
      <c r="S97" t="s">
        <v>81</v>
      </c>
      <c r="T97" t="s">
        <v>107</v>
      </c>
      <c r="U97" t="s">
        <v>92</v>
      </c>
      <c r="V97" t="b">
        <v>1</v>
      </c>
      <c r="W97">
        <v>0</v>
      </c>
      <c r="X97">
        <v>0</v>
      </c>
      <c r="Y97" t="s">
        <v>14</v>
      </c>
    </row>
    <row r="98" spans="1:25">
      <c r="A98" t="s">
        <v>204</v>
      </c>
      <c r="B98" t="s">
        <v>204</v>
      </c>
      <c r="C98" t="s">
        <v>119</v>
      </c>
      <c r="D98" t="s">
        <v>120</v>
      </c>
      <c r="E98" s="3">
        <v>45862</v>
      </c>
      <c r="F98">
        <v>-1064.99</v>
      </c>
      <c r="G98" t="s">
        <v>56</v>
      </c>
      <c r="H98" t="s">
        <v>80</v>
      </c>
      <c r="I98" t="s">
        <v>103</v>
      </c>
      <c r="J98" t="s">
        <v>81</v>
      </c>
      <c r="K98" t="s">
        <v>59</v>
      </c>
      <c r="L98" t="s">
        <v>121</v>
      </c>
      <c r="M98" t="s">
        <v>122</v>
      </c>
      <c r="N98" s="3">
        <v>45862</v>
      </c>
      <c r="O98">
        <v>-1064.99</v>
      </c>
      <c r="P98" t="s">
        <v>56</v>
      </c>
      <c r="Q98" t="s">
        <v>80</v>
      </c>
      <c r="R98" t="s">
        <v>103</v>
      </c>
      <c r="S98" t="s">
        <v>81</v>
      </c>
      <c r="T98" t="s">
        <v>59</v>
      </c>
      <c r="U98" t="s">
        <v>119</v>
      </c>
      <c r="V98" t="b">
        <v>1</v>
      </c>
      <c r="W98">
        <v>0</v>
      </c>
      <c r="X98">
        <v>0</v>
      </c>
      <c r="Y98" t="s">
        <v>14</v>
      </c>
    </row>
    <row r="99" spans="1:25">
      <c r="A99" t="s">
        <v>205</v>
      </c>
      <c r="B99" t="s">
        <v>205</v>
      </c>
      <c r="C99" t="s">
        <v>92</v>
      </c>
      <c r="D99" t="s">
        <v>93</v>
      </c>
      <c r="E99" s="3">
        <v>45874</v>
      </c>
      <c r="F99">
        <v>717.26</v>
      </c>
      <c r="G99" t="s">
        <v>56</v>
      </c>
      <c r="H99" t="s">
        <v>80</v>
      </c>
      <c r="I99" t="s">
        <v>97</v>
      </c>
      <c r="J99" t="s">
        <v>117</v>
      </c>
      <c r="K99" t="s">
        <v>67</v>
      </c>
      <c r="L99" t="s">
        <v>125</v>
      </c>
      <c r="M99" t="s">
        <v>126</v>
      </c>
      <c r="N99" s="3">
        <v>45874</v>
      </c>
      <c r="O99">
        <v>717.26</v>
      </c>
      <c r="P99" t="s">
        <v>56</v>
      </c>
      <c r="Q99" t="s">
        <v>80</v>
      </c>
      <c r="R99" t="s">
        <v>97</v>
      </c>
      <c r="S99" t="s">
        <v>117</v>
      </c>
      <c r="T99" t="s">
        <v>67</v>
      </c>
      <c r="U99" t="s">
        <v>92</v>
      </c>
      <c r="V99" t="b">
        <v>1</v>
      </c>
      <c r="W99">
        <v>0</v>
      </c>
      <c r="X99">
        <v>0</v>
      </c>
      <c r="Y99" t="s">
        <v>14</v>
      </c>
    </row>
    <row r="100" spans="1:25">
      <c r="A100" t="s">
        <v>206</v>
      </c>
      <c r="B100" t="s">
        <v>206</v>
      </c>
      <c r="C100" t="s">
        <v>71</v>
      </c>
      <c r="D100" t="s">
        <v>72</v>
      </c>
      <c r="E100" s="3">
        <v>45858</v>
      </c>
      <c r="F100">
        <v>-414.47</v>
      </c>
      <c r="G100" t="s">
        <v>56</v>
      </c>
      <c r="H100" t="s">
        <v>73</v>
      </c>
      <c r="I100" t="s">
        <v>77</v>
      </c>
      <c r="J100" t="s">
        <v>117</v>
      </c>
      <c r="K100" t="s">
        <v>138</v>
      </c>
      <c r="L100" t="s">
        <v>74</v>
      </c>
      <c r="M100" t="s">
        <v>75</v>
      </c>
      <c r="N100" s="3">
        <v>45861</v>
      </c>
      <c r="O100">
        <v>-403.37</v>
      </c>
      <c r="P100" t="s">
        <v>56</v>
      </c>
      <c r="Q100" t="s">
        <v>73</v>
      </c>
      <c r="R100" t="s">
        <v>77</v>
      </c>
      <c r="S100" t="s">
        <v>117</v>
      </c>
      <c r="T100" t="s">
        <v>138</v>
      </c>
      <c r="U100" t="s">
        <v>71</v>
      </c>
      <c r="V100" t="b">
        <v>1</v>
      </c>
      <c r="W100">
        <v>-11.1</v>
      </c>
      <c r="X100">
        <v>-3</v>
      </c>
      <c r="Y100" t="s">
        <v>17</v>
      </c>
    </row>
    <row r="101" spans="1:25">
      <c r="A101" t="s">
        <v>207</v>
      </c>
      <c r="B101" t="s">
        <v>207</v>
      </c>
      <c r="C101" t="s">
        <v>150</v>
      </c>
      <c r="D101" t="s">
        <v>151</v>
      </c>
      <c r="E101" s="3">
        <v>45883</v>
      </c>
      <c r="F101">
        <v>-382.02</v>
      </c>
      <c r="G101" t="s">
        <v>56</v>
      </c>
      <c r="H101" t="s">
        <v>80</v>
      </c>
      <c r="I101" t="s">
        <v>58</v>
      </c>
      <c r="K101" t="s">
        <v>138</v>
      </c>
      <c r="L101" t="s">
        <v>152</v>
      </c>
      <c r="M101" t="s">
        <v>153</v>
      </c>
      <c r="N101" s="3">
        <v>45883</v>
      </c>
      <c r="O101">
        <v>-382.02</v>
      </c>
      <c r="P101" t="s">
        <v>56</v>
      </c>
      <c r="Q101" t="s">
        <v>80</v>
      </c>
      <c r="R101" t="s">
        <v>58</v>
      </c>
      <c r="T101" t="s">
        <v>138</v>
      </c>
      <c r="U101" t="s">
        <v>150</v>
      </c>
      <c r="V101" t="b">
        <v>1</v>
      </c>
      <c r="W101">
        <v>0</v>
      </c>
      <c r="X101">
        <v>0</v>
      </c>
      <c r="Y101" t="s">
        <v>14</v>
      </c>
    </row>
    <row r="102" spans="1:25">
      <c r="A102" t="s">
        <v>208</v>
      </c>
      <c r="B102" t="s">
        <v>208</v>
      </c>
      <c r="C102" t="s">
        <v>63</v>
      </c>
      <c r="D102" t="s">
        <v>64</v>
      </c>
      <c r="E102" s="3">
        <v>45877</v>
      </c>
      <c r="F102">
        <v>283.88</v>
      </c>
      <c r="G102" t="s">
        <v>56</v>
      </c>
      <c r="H102" t="s">
        <v>73</v>
      </c>
      <c r="I102" t="s">
        <v>58</v>
      </c>
      <c r="J102" t="s">
        <v>81</v>
      </c>
      <c r="K102" t="s">
        <v>105</v>
      </c>
      <c r="L102" t="s">
        <v>82</v>
      </c>
      <c r="M102" t="s">
        <v>83</v>
      </c>
      <c r="N102" s="3">
        <v>45877</v>
      </c>
      <c r="O102">
        <v>283.88</v>
      </c>
      <c r="P102" t="s">
        <v>56</v>
      </c>
      <c r="Q102" t="s">
        <v>73</v>
      </c>
      <c r="R102" t="s">
        <v>58</v>
      </c>
      <c r="S102" t="s">
        <v>81</v>
      </c>
      <c r="T102" t="s">
        <v>105</v>
      </c>
      <c r="U102" t="s">
        <v>63</v>
      </c>
      <c r="V102" t="b">
        <v>1</v>
      </c>
      <c r="W102">
        <v>0</v>
      </c>
      <c r="X102">
        <v>0</v>
      </c>
      <c r="Y102" t="s">
        <v>14</v>
      </c>
    </row>
    <row r="103" spans="1:25">
      <c r="A103" t="s">
        <v>209</v>
      </c>
      <c r="B103" t="s">
        <v>209</v>
      </c>
      <c r="C103" t="s">
        <v>63</v>
      </c>
      <c r="D103" t="s">
        <v>64</v>
      </c>
      <c r="E103" s="3">
        <v>45914</v>
      </c>
      <c r="F103">
        <v>593.59</v>
      </c>
      <c r="G103" t="s">
        <v>56</v>
      </c>
      <c r="H103" t="s">
        <v>80</v>
      </c>
      <c r="I103" t="s">
        <v>103</v>
      </c>
      <c r="J103" t="s">
        <v>66</v>
      </c>
      <c r="K103" t="s">
        <v>67</v>
      </c>
      <c r="L103" t="s">
        <v>82</v>
      </c>
      <c r="M103" t="s">
        <v>83</v>
      </c>
      <c r="N103" s="3">
        <v>45914</v>
      </c>
      <c r="O103">
        <v>593.59</v>
      </c>
      <c r="P103" t="s">
        <v>56</v>
      </c>
      <c r="Q103" t="s">
        <v>80</v>
      </c>
      <c r="R103" t="s">
        <v>103</v>
      </c>
      <c r="S103" t="s">
        <v>66</v>
      </c>
      <c r="T103" t="s">
        <v>67</v>
      </c>
      <c r="U103" t="s">
        <v>63</v>
      </c>
      <c r="V103" t="b">
        <v>1</v>
      </c>
      <c r="W103">
        <v>0</v>
      </c>
      <c r="X103">
        <v>0</v>
      </c>
      <c r="Y103" t="s">
        <v>14</v>
      </c>
    </row>
    <row r="104" spans="1:25">
      <c r="A104" t="s">
        <v>210</v>
      </c>
      <c r="B104" t="s">
        <v>210</v>
      </c>
      <c r="C104" t="s">
        <v>71</v>
      </c>
      <c r="D104" t="s">
        <v>72</v>
      </c>
      <c r="E104" s="3">
        <v>45912</v>
      </c>
      <c r="F104">
        <v>597.89</v>
      </c>
      <c r="G104" t="s">
        <v>56</v>
      </c>
      <c r="H104" t="s">
        <v>80</v>
      </c>
      <c r="I104" t="s">
        <v>77</v>
      </c>
      <c r="K104" t="s">
        <v>138</v>
      </c>
      <c r="L104" t="s">
        <v>74</v>
      </c>
      <c r="M104" t="s">
        <v>75</v>
      </c>
      <c r="N104" s="3">
        <v>45911</v>
      </c>
      <c r="O104">
        <v>604.92999999999995</v>
      </c>
      <c r="P104" t="s">
        <v>56</v>
      </c>
      <c r="Q104" t="s">
        <v>80</v>
      </c>
      <c r="R104" t="s">
        <v>77</v>
      </c>
      <c r="T104" t="s">
        <v>138</v>
      </c>
      <c r="U104" t="s">
        <v>71</v>
      </c>
      <c r="V104" t="b">
        <v>1</v>
      </c>
      <c r="W104">
        <v>-7.04</v>
      </c>
      <c r="X104">
        <v>1</v>
      </c>
      <c r="Y104" t="s">
        <v>17</v>
      </c>
    </row>
    <row r="105" spans="1:25">
      <c r="A105" t="s">
        <v>211</v>
      </c>
      <c r="B105" t="s">
        <v>211</v>
      </c>
      <c r="C105" t="s">
        <v>63</v>
      </c>
      <c r="D105" t="s">
        <v>64</v>
      </c>
      <c r="E105" s="3">
        <v>45874</v>
      </c>
      <c r="F105">
        <v>-139.22</v>
      </c>
      <c r="G105" t="s">
        <v>56</v>
      </c>
      <c r="H105" t="s">
        <v>80</v>
      </c>
      <c r="I105" t="s">
        <v>97</v>
      </c>
      <c r="J105" t="s">
        <v>81</v>
      </c>
      <c r="K105" t="s">
        <v>138</v>
      </c>
      <c r="L105" t="s">
        <v>82</v>
      </c>
      <c r="M105" t="s">
        <v>83</v>
      </c>
      <c r="N105" s="3">
        <v>45874</v>
      </c>
      <c r="O105">
        <v>-139.22</v>
      </c>
      <c r="P105" t="s">
        <v>56</v>
      </c>
      <c r="Q105" t="s">
        <v>80</v>
      </c>
      <c r="R105" t="s">
        <v>97</v>
      </c>
      <c r="S105" t="s">
        <v>81</v>
      </c>
      <c r="T105" t="s">
        <v>138</v>
      </c>
      <c r="U105" t="s">
        <v>63</v>
      </c>
      <c r="V105" t="b">
        <v>1</v>
      </c>
      <c r="W105">
        <v>0</v>
      </c>
      <c r="X105">
        <v>0</v>
      </c>
      <c r="Y105" t="s">
        <v>14</v>
      </c>
    </row>
    <row r="106" spans="1:25">
      <c r="A106" t="s">
        <v>212</v>
      </c>
      <c r="B106" t="s">
        <v>212</v>
      </c>
      <c r="C106" t="s">
        <v>71</v>
      </c>
      <c r="D106" t="s">
        <v>72</v>
      </c>
      <c r="E106" s="3">
        <v>45889</v>
      </c>
      <c r="F106">
        <v>-621.58000000000004</v>
      </c>
      <c r="G106" t="s">
        <v>56</v>
      </c>
      <c r="H106" t="s">
        <v>80</v>
      </c>
      <c r="I106" t="s">
        <v>77</v>
      </c>
      <c r="J106" t="s">
        <v>66</v>
      </c>
      <c r="L106" t="s">
        <v>74</v>
      </c>
      <c r="M106" t="s">
        <v>75</v>
      </c>
      <c r="N106" s="3">
        <v>45890</v>
      </c>
      <c r="O106">
        <v>-614.62</v>
      </c>
      <c r="P106" t="s">
        <v>56</v>
      </c>
      <c r="Q106" t="s">
        <v>80</v>
      </c>
      <c r="R106" t="s">
        <v>77</v>
      </c>
      <c r="S106" t="s">
        <v>66</v>
      </c>
      <c r="U106" t="s">
        <v>71</v>
      </c>
      <c r="V106" t="b">
        <v>1</v>
      </c>
      <c r="W106">
        <v>-6.96</v>
      </c>
      <c r="X106">
        <v>-1</v>
      </c>
      <c r="Y106" t="s">
        <v>17</v>
      </c>
    </row>
    <row r="107" spans="1:25">
      <c r="A107" t="s">
        <v>213</v>
      </c>
      <c r="B107" t="s">
        <v>213</v>
      </c>
      <c r="C107" t="s">
        <v>71</v>
      </c>
      <c r="D107" t="s">
        <v>72</v>
      </c>
      <c r="E107" s="3">
        <v>45915</v>
      </c>
      <c r="F107">
        <v>357.63</v>
      </c>
      <c r="G107" t="s">
        <v>56</v>
      </c>
      <c r="H107" t="s">
        <v>65</v>
      </c>
      <c r="I107" t="s">
        <v>58</v>
      </c>
      <c r="J107" t="s">
        <v>66</v>
      </c>
      <c r="K107" t="s">
        <v>105</v>
      </c>
      <c r="L107" t="s">
        <v>74</v>
      </c>
      <c r="M107" t="s">
        <v>75</v>
      </c>
      <c r="N107" s="3">
        <v>45915</v>
      </c>
      <c r="O107">
        <v>357.63</v>
      </c>
      <c r="P107" t="s">
        <v>56</v>
      </c>
      <c r="Q107" t="s">
        <v>65</v>
      </c>
      <c r="R107" t="s">
        <v>58</v>
      </c>
      <c r="S107" t="s">
        <v>66</v>
      </c>
      <c r="T107" t="s">
        <v>105</v>
      </c>
      <c r="U107" t="s">
        <v>71</v>
      </c>
      <c r="V107" t="b">
        <v>1</v>
      </c>
      <c r="W107">
        <v>0</v>
      </c>
      <c r="X107">
        <v>0</v>
      </c>
      <c r="Y107" t="s">
        <v>14</v>
      </c>
    </row>
    <row r="108" spans="1:25">
      <c r="A108" t="s">
        <v>214</v>
      </c>
      <c r="B108" t="s">
        <v>214</v>
      </c>
      <c r="C108" t="s">
        <v>71</v>
      </c>
      <c r="D108" t="s">
        <v>72</v>
      </c>
      <c r="E108" s="3">
        <v>45885</v>
      </c>
      <c r="F108">
        <v>856.68</v>
      </c>
      <c r="G108" t="s">
        <v>56</v>
      </c>
      <c r="H108" t="s">
        <v>65</v>
      </c>
      <c r="I108" t="s">
        <v>103</v>
      </c>
      <c r="J108" t="s">
        <v>117</v>
      </c>
      <c r="K108" t="s">
        <v>107</v>
      </c>
      <c r="L108" t="s">
        <v>74</v>
      </c>
      <c r="M108" t="s">
        <v>75</v>
      </c>
      <c r="N108" s="3">
        <v>45885</v>
      </c>
      <c r="O108">
        <v>856.68</v>
      </c>
      <c r="P108" t="s">
        <v>56</v>
      </c>
      <c r="Q108" t="s">
        <v>65</v>
      </c>
      <c r="R108" t="s">
        <v>103</v>
      </c>
      <c r="S108" t="s">
        <v>117</v>
      </c>
      <c r="T108" t="s">
        <v>107</v>
      </c>
      <c r="U108" t="s">
        <v>71</v>
      </c>
      <c r="V108" t="b">
        <v>1</v>
      </c>
      <c r="W108">
        <v>0</v>
      </c>
      <c r="X108">
        <v>0</v>
      </c>
      <c r="Y108" t="s">
        <v>14</v>
      </c>
    </row>
    <row r="109" spans="1:25">
      <c r="A109" t="s">
        <v>215</v>
      </c>
      <c r="B109" t="s">
        <v>215</v>
      </c>
      <c r="C109" t="s">
        <v>92</v>
      </c>
      <c r="D109" t="s">
        <v>93</v>
      </c>
      <c r="E109" s="3">
        <v>45865</v>
      </c>
      <c r="F109">
        <v>-539.21</v>
      </c>
      <c r="G109" t="s">
        <v>56</v>
      </c>
      <c r="H109" t="s">
        <v>73</v>
      </c>
      <c r="I109" t="s">
        <v>103</v>
      </c>
      <c r="J109" t="s">
        <v>99</v>
      </c>
      <c r="K109" t="s">
        <v>138</v>
      </c>
      <c r="L109" t="s">
        <v>125</v>
      </c>
      <c r="M109" t="s">
        <v>126</v>
      </c>
      <c r="N109" s="3">
        <v>45865</v>
      </c>
      <c r="O109">
        <v>-539.21</v>
      </c>
      <c r="P109" t="s">
        <v>56</v>
      </c>
      <c r="Q109" t="s">
        <v>73</v>
      </c>
      <c r="R109" t="s">
        <v>103</v>
      </c>
      <c r="S109" t="s">
        <v>99</v>
      </c>
      <c r="T109" t="s">
        <v>138</v>
      </c>
      <c r="U109" t="s">
        <v>92</v>
      </c>
      <c r="V109" t="b">
        <v>1</v>
      </c>
      <c r="W109">
        <v>0</v>
      </c>
      <c r="X109">
        <v>0</v>
      </c>
      <c r="Y109" t="s">
        <v>14</v>
      </c>
    </row>
    <row r="110" spans="1:25">
      <c r="A110" t="s">
        <v>216</v>
      </c>
      <c r="B110" t="s">
        <v>216</v>
      </c>
      <c r="C110" t="s">
        <v>87</v>
      </c>
      <c r="D110" t="s">
        <v>88</v>
      </c>
      <c r="E110" s="3">
        <v>45904</v>
      </c>
      <c r="F110">
        <v>929.43</v>
      </c>
      <c r="G110" t="s">
        <v>56</v>
      </c>
      <c r="H110" t="s">
        <v>80</v>
      </c>
      <c r="I110" t="s">
        <v>77</v>
      </c>
      <c r="J110" t="s">
        <v>109</v>
      </c>
      <c r="K110" t="s">
        <v>78</v>
      </c>
      <c r="L110" t="s">
        <v>100</v>
      </c>
      <c r="M110" t="s">
        <v>101</v>
      </c>
      <c r="N110" s="3">
        <v>45905</v>
      </c>
      <c r="O110">
        <v>938.36</v>
      </c>
      <c r="P110" t="s">
        <v>56</v>
      </c>
      <c r="Q110" t="s">
        <v>80</v>
      </c>
      <c r="R110" t="s">
        <v>77</v>
      </c>
      <c r="S110" t="s">
        <v>109</v>
      </c>
      <c r="T110" t="s">
        <v>78</v>
      </c>
      <c r="U110" t="s">
        <v>87</v>
      </c>
      <c r="V110" t="b">
        <v>1</v>
      </c>
      <c r="W110">
        <v>-8.93</v>
      </c>
      <c r="X110">
        <v>-1</v>
      </c>
      <c r="Y110" t="s">
        <v>17</v>
      </c>
    </row>
    <row r="111" spans="1:25">
      <c r="A111" t="s">
        <v>217</v>
      </c>
      <c r="B111" t="s">
        <v>217</v>
      </c>
      <c r="C111" t="s">
        <v>87</v>
      </c>
      <c r="D111" t="s">
        <v>88</v>
      </c>
      <c r="E111" s="3">
        <v>45887</v>
      </c>
      <c r="F111">
        <v>385.47</v>
      </c>
      <c r="G111" t="s">
        <v>56</v>
      </c>
      <c r="H111" t="s">
        <v>73</v>
      </c>
      <c r="I111" t="s">
        <v>58</v>
      </c>
      <c r="J111" t="s">
        <v>81</v>
      </c>
      <c r="K111" t="s">
        <v>105</v>
      </c>
      <c r="L111" t="s">
        <v>100</v>
      </c>
      <c r="M111" t="s">
        <v>101</v>
      </c>
      <c r="N111" s="3">
        <v>45889</v>
      </c>
      <c r="O111">
        <v>385.06</v>
      </c>
      <c r="P111" t="s">
        <v>56</v>
      </c>
      <c r="Q111" t="s">
        <v>73</v>
      </c>
      <c r="R111" t="s">
        <v>58</v>
      </c>
      <c r="S111" t="s">
        <v>81</v>
      </c>
      <c r="T111" t="s">
        <v>105</v>
      </c>
      <c r="U111" t="s">
        <v>87</v>
      </c>
      <c r="V111" t="b">
        <v>1</v>
      </c>
      <c r="W111">
        <v>0.41</v>
      </c>
      <c r="X111">
        <v>-2</v>
      </c>
      <c r="Y111" t="s">
        <v>15</v>
      </c>
    </row>
    <row r="112" spans="1:25">
      <c r="A112" t="s">
        <v>218</v>
      </c>
      <c r="B112" t="s">
        <v>218</v>
      </c>
      <c r="C112" t="s">
        <v>150</v>
      </c>
      <c r="D112" t="s">
        <v>151</v>
      </c>
      <c r="E112" s="3">
        <v>45861</v>
      </c>
      <c r="F112">
        <v>-428</v>
      </c>
      <c r="G112" t="s">
        <v>56</v>
      </c>
      <c r="H112" t="s">
        <v>73</v>
      </c>
      <c r="I112" t="s">
        <v>97</v>
      </c>
      <c r="J112" t="s">
        <v>117</v>
      </c>
      <c r="K112" t="s">
        <v>138</v>
      </c>
      <c r="L112" t="s">
        <v>152</v>
      </c>
      <c r="M112" t="s">
        <v>153</v>
      </c>
      <c r="N112" s="3">
        <v>45861</v>
      </c>
      <c r="O112">
        <v>-428</v>
      </c>
      <c r="P112" t="s">
        <v>56</v>
      </c>
      <c r="Q112" t="s">
        <v>73</v>
      </c>
      <c r="R112" t="s">
        <v>97</v>
      </c>
      <c r="S112" t="s">
        <v>117</v>
      </c>
      <c r="T112" t="s">
        <v>138</v>
      </c>
      <c r="U112" t="s">
        <v>150</v>
      </c>
      <c r="V112" t="b">
        <v>1</v>
      </c>
      <c r="W112">
        <v>0</v>
      </c>
      <c r="X112">
        <v>0</v>
      </c>
      <c r="Y112" t="s">
        <v>14</v>
      </c>
    </row>
    <row r="113" spans="1:25">
      <c r="A113" t="s">
        <v>219</v>
      </c>
      <c r="B113" t="s">
        <v>219</v>
      </c>
      <c r="C113" t="s">
        <v>92</v>
      </c>
      <c r="D113" t="s">
        <v>93</v>
      </c>
      <c r="E113" s="3">
        <v>45884</v>
      </c>
      <c r="F113">
        <v>-574.95000000000005</v>
      </c>
      <c r="G113" t="s">
        <v>56</v>
      </c>
      <c r="H113" t="s">
        <v>65</v>
      </c>
      <c r="I113" t="s">
        <v>97</v>
      </c>
      <c r="J113" t="s">
        <v>66</v>
      </c>
      <c r="K113" t="s">
        <v>78</v>
      </c>
      <c r="L113" t="s">
        <v>94</v>
      </c>
      <c r="M113" t="s">
        <v>95</v>
      </c>
      <c r="N113" s="3">
        <v>45884</v>
      </c>
      <c r="O113">
        <v>-574.95000000000005</v>
      </c>
      <c r="P113" t="s">
        <v>56</v>
      </c>
      <c r="Q113" t="s">
        <v>65</v>
      </c>
      <c r="R113" t="s">
        <v>97</v>
      </c>
      <c r="S113" t="s">
        <v>66</v>
      </c>
      <c r="T113" t="s">
        <v>78</v>
      </c>
      <c r="U113" t="s">
        <v>92</v>
      </c>
      <c r="V113" t="b">
        <v>1</v>
      </c>
      <c r="W113">
        <v>0</v>
      </c>
      <c r="X113">
        <v>0</v>
      </c>
      <c r="Y113" t="s">
        <v>14</v>
      </c>
    </row>
    <row r="114" spans="1:25">
      <c r="A114" t="s">
        <v>220</v>
      </c>
      <c r="B114" t="s">
        <v>220</v>
      </c>
      <c r="C114" t="s">
        <v>54</v>
      </c>
      <c r="D114" t="s">
        <v>55</v>
      </c>
      <c r="E114" s="3">
        <v>45892</v>
      </c>
      <c r="F114">
        <v>-763.99</v>
      </c>
      <c r="G114" t="s">
        <v>56</v>
      </c>
      <c r="H114" t="s">
        <v>65</v>
      </c>
      <c r="I114" t="s">
        <v>103</v>
      </c>
      <c r="J114" t="s">
        <v>99</v>
      </c>
      <c r="L114" t="s">
        <v>60</v>
      </c>
      <c r="M114" t="s">
        <v>61</v>
      </c>
      <c r="N114" s="3">
        <v>45892</v>
      </c>
      <c r="O114">
        <v>-764.8</v>
      </c>
      <c r="P114" t="s">
        <v>56</v>
      </c>
      <c r="Q114" t="s">
        <v>65</v>
      </c>
      <c r="R114" t="s">
        <v>103</v>
      </c>
      <c r="S114" t="s">
        <v>99</v>
      </c>
      <c r="U114" t="s">
        <v>54</v>
      </c>
      <c r="V114" t="b">
        <v>1</v>
      </c>
      <c r="W114">
        <v>0.81</v>
      </c>
      <c r="X114">
        <v>0</v>
      </c>
      <c r="Y114" t="s">
        <v>15</v>
      </c>
    </row>
    <row r="115" spans="1:25">
      <c r="A115" t="s">
        <v>221</v>
      </c>
      <c r="B115" t="s">
        <v>221</v>
      </c>
      <c r="C115" t="s">
        <v>119</v>
      </c>
      <c r="D115" t="s">
        <v>120</v>
      </c>
      <c r="E115" s="3">
        <v>45869</v>
      </c>
      <c r="F115">
        <v>641.47</v>
      </c>
      <c r="G115" t="s">
        <v>56</v>
      </c>
      <c r="H115" t="s">
        <v>73</v>
      </c>
      <c r="I115" t="s">
        <v>77</v>
      </c>
      <c r="J115" t="s">
        <v>117</v>
      </c>
      <c r="K115" t="s">
        <v>105</v>
      </c>
      <c r="L115" t="s">
        <v>121</v>
      </c>
      <c r="M115" t="s">
        <v>122</v>
      </c>
      <c r="N115" s="3">
        <v>45869</v>
      </c>
      <c r="O115">
        <v>641.47</v>
      </c>
      <c r="P115" t="s">
        <v>56</v>
      </c>
      <c r="Q115" t="s">
        <v>73</v>
      </c>
      <c r="R115" t="s">
        <v>77</v>
      </c>
      <c r="S115" t="s">
        <v>117</v>
      </c>
      <c r="T115" t="s">
        <v>105</v>
      </c>
      <c r="U115" t="s">
        <v>119</v>
      </c>
      <c r="V115" t="b">
        <v>1</v>
      </c>
      <c r="W115">
        <v>0</v>
      </c>
      <c r="X115">
        <v>0</v>
      </c>
      <c r="Y115" t="s">
        <v>14</v>
      </c>
    </row>
    <row r="116" spans="1:25">
      <c r="A116" t="s">
        <v>222</v>
      </c>
      <c r="B116" t="s">
        <v>222</v>
      </c>
      <c r="C116" t="s">
        <v>92</v>
      </c>
      <c r="D116" t="s">
        <v>93</v>
      </c>
      <c r="E116" s="3">
        <v>45870</v>
      </c>
      <c r="F116">
        <v>-191.62</v>
      </c>
      <c r="G116" t="s">
        <v>56</v>
      </c>
      <c r="H116" t="s">
        <v>80</v>
      </c>
      <c r="I116" t="s">
        <v>58</v>
      </c>
      <c r="J116" t="s">
        <v>117</v>
      </c>
      <c r="K116" t="s">
        <v>138</v>
      </c>
      <c r="L116" t="s">
        <v>125</v>
      </c>
      <c r="M116" t="s">
        <v>126</v>
      </c>
      <c r="N116" s="3">
        <v>45870</v>
      </c>
      <c r="O116">
        <v>-191.62</v>
      </c>
      <c r="P116" t="s">
        <v>56</v>
      </c>
      <c r="Q116" t="s">
        <v>80</v>
      </c>
      <c r="R116" t="s">
        <v>58</v>
      </c>
      <c r="S116" t="s">
        <v>117</v>
      </c>
      <c r="T116" t="s">
        <v>138</v>
      </c>
      <c r="U116" t="s">
        <v>92</v>
      </c>
      <c r="V116" t="b">
        <v>1</v>
      </c>
      <c r="W116">
        <v>0</v>
      </c>
      <c r="X116">
        <v>0</v>
      </c>
      <c r="Y116" t="s">
        <v>14</v>
      </c>
    </row>
    <row r="117" spans="1:25">
      <c r="A117" t="s">
        <v>223</v>
      </c>
      <c r="B117" t="s">
        <v>223</v>
      </c>
      <c r="C117" t="s">
        <v>119</v>
      </c>
      <c r="D117" t="s">
        <v>120</v>
      </c>
      <c r="E117" s="3">
        <v>45880</v>
      </c>
      <c r="F117">
        <v>-545.73</v>
      </c>
      <c r="G117" t="s">
        <v>56</v>
      </c>
      <c r="H117" t="s">
        <v>65</v>
      </c>
      <c r="I117" t="s">
        <v>58</v>
      </c>
      <c r="J117" t="s">
        <v>99</v>
      </c>
      <c r="K117" t="s">
        <v>78</v>
      </c>
      <c r="L117" t="s">
        <v>121</v>
      </c>
      <c r="M117" t="s">
        <v>122</v>
      </c>
      <c r="N117" s="3">
        <v>45880</v>
      </c>
      <c r="O117">
        <v>-545.73</v>
      </c>
      <c r="P117" t="s">
        <v>56</v>
      </c>
      <c r="Q117" t="s">
        <v>65</v>
      </c>
      <c r="R117" t="s">
        <v>58</v>
      </c>
      <c r="S117" t="s">
        <v>99</v>
      </c>
      <c r="T117" t="s">
        <v>78</v>
      </c>
      <c r="U117" t="s">
        <v>119</v>
      </c>
      <c r="V117" t="b">
        <v>1</v>
      </c>
      <c r="W117">
        <v>0</v>
      </c>
      <c r="X117">
        <v>0</v>
      </c>
      <c r="Y117" t="s">
        <v>14</v>
      </c>
    </row>
    <row r="118" spans="1:25">
      <c r="A118" t="s">
        <v>224</v>
      </c>
      <c r="B118" t="s">
        <v>224</v>
      </c>
      <c r="C118" t="s">
        <v>71</v>
      </c>
      <c r="D118" t="s">
        <v>72</v>
      </c>
      <c r="E118" s="3">
        <v>45882</v>
      </c>
      <c r="F118">
        <v>505.56</v>
      </c>
      <c r="G118" t="s">
        <v>56</v>
      </c>
      <c r="H118" t="s">
        <v>73</v>
      </c>
      <c r="I118" t="s">
        <v>103</v>
      </c>
      <c r="L118" t="s">
        <v>74</v>
      </c>
      <c r="M118" t="s">
        <v>75</v>
      </c>
      <c r="N118" s="3">
        <v>45881</v>
      </c>
      <c r="O118">
        <v>505.75</v>
      </c>
      <c r="P118" t="s">
        <v>56</v>
      </c>
      <c r="Q118" t="s">
        <v>73</v>
      </c>
      <c r="R118" t="s">
        <v>103</v>
      </c>
      <c r="U118" t="s">
        <v>71</v>
      </c>
      <c r="V118" t="b">
        <v>1</v>
      </c>
      <c r="W118">
        <v>-0.19</v>
      </c>
      <c r="X118">
        <v>1</v>
      </c>
      <c r="Y118" t="s">
        <v>15</v>
      </c>
    </row>
    <row r="119" spans="1:25">
      <c r="A119" t="s">
        <v>225</v>
      </c>
      <c r="B119" t="s">
        <v>225</v>
      </c>
      <c r="C119" t="s">
        <v>63</v>
      </c>
      <c r="D119" t="s">
        <v>64</v>
      </c>
      <c r="E119" s="3">
        <v>45865</v>
      </c>
      <c r="F119">
        <v>-392.73</v>
      </c>
      <c r="G119" t="s">
        <v>56</v>
      </c>
      <c r="H119" t="s">
        <v>73</v>
      </c>
      <c r="I119" t="s">
        <v>77</v>
      </c>
      <c r="J119" t="s">
        <v>66</v>
      </c>
      <c r="K119" t="s">
        <v>107</v>
      </c>
      <c r="L119" t="s">
        <v>82</v>
      </c>
      <c r="M119" t="s">
        <v>83</v>
      </c>
      <c r="N119" s="3">
        <v>45865</v>
      </c>
      <c r="O119">
        <v>-392.73</v>
      </c>
      <c r="P119" t="s">
        <v>56</v>
      </c>
      <c r="Q119" t="s">
        <v>73</v>
      </c>
      <c r="R119" t="s">
        <v>77</v>
      </c>
      <c r="S119" t="s">
        <v>66</v>
      </c>
      <c r="T119" t="s">
        <v>107</v>
      </c>
      <c r="U119" t="s">
        <v>63</v>
      </c>
      <c r="V119" t="b">
        <v>1</v>
      </c>
      <c r="W119">
        <v>0</v>
      </c>
      <c r="X119">
        <v>0</v>
      </c>
      <c r="Y119" t="s">
        <v>14</v>
      </c>
    </row>
    <row r="120" spans="1:25">
      <c r="A120" t="s">
        <v>226</v>
      </c>
      <c r="B120" t="s">
        <v>226</v>
      </c>
      <c r="C120" t="s">
        <v>71</v>
      </c>
      <c r="D120" t="s">
        <v>72</v>
      </c>
      <c r="E120" s="3">
        <v>45916</v>
      </c>
      <c r="F120">
        <v>337.97</v>
      </c>
      <c r="G120" t="s">
        <v>56</v>
      </c>
      <c r="H120" t="s">
        <v>73</v>
      </c>
      <c r="I120" t="s">
        <v>77</v>
      </c>
      <c r="J120" t="s">
        <v>81</v>
      </c>
      <c r="L120" t="s">
        <v>74</v>
      </c>
      <c r="M120" t="s">
        <v>75</v>
      </c>
      <c r="N120" s="3">
        <v>45916</v>
      </c>
      <c r="O120">
        <v>337.97</v>
      </c>
      <c r="P120" t="s">
        <v>56</v>
      </c>
      <c r="Q120" t="s">
        <v>73</v>
      </c>
      <c r="R120" t="s">
        <v>77</v>
      </c>
      <c r="S120" t="s">
        <v>81</v>
      </c>
      <c r="U120" t="s">
        <v>71</v>
      </c>
      <c r="V120" t="b">
        <v>1</v>
      </c>
      <c r="W120">
        <v>0</v>
      </c>
      <c r="X120">
        <v>0</v>
      </c>
      <c r="Y120" t="s">
        <v>14</v>
      </c>
    </row>
    <row r="121" spans="1:25">
      <c r="A121" t="s">
        <v>227</v>
      </c>
      <c r="B121" t="s">
        <v>227</v>
      </c>
      <c r="C121" t="s">
        <v>63</v>
      </c>
      <c r="D121" t="s">
        <v>64</v>
      </c>
      <c r="E121" s="3">
        <v>45871</v>
      </c>
      <c r="F121">
        <v>-936.89</v>
      </c>
      <c r="G121" t="s">
        <v>56</v>
      </c>
      <c r="H121" t="s">
        <v>57</v>
      </c>
      <c r="I121" t="s">
        <v>77</v>
      </c>
      <c r="J121" t="s">
        <v>66</v>
      </c>
      <c r="K121" t="s">
        <v>59</v>
      </c>
      <c r="L121" t="s">
        <v>68</v>
      </c>
      <c r="M121" t="s">
        <v>69</v>
      </c>
      <c r="N121" s="3">
        <v>45871</v>
      </c>
      <c r="O121">
        <v>-936.89</v>
      </c>
      <c r="P121" t="s">
        <v>56</v>
      </c>
      <c r="Q121" t="s">
        <v>57</v>
      </c>
      <c r="R121" t="s">
        <v>77</v>
      </c>
      <c r="S121" t="s">
        <v>66</v>
      </c>
      <c r="T121" t="s">
        <v>59</v>
      </c>
      <c r="U121" t="s">
        <v>63</v>
      </c>
      <c r="V121" t="b">
        <v>1</v>
      </c>
      <c r="W121">
        <v>0</v>
      </c>
      <c r="X121">
        <v>0</v>
      </c>
      <c r="Y121" t="s">
        <v>14</v>
      </c>
    </row>
    <row r="122" spans="1:25">
      <c r="A122" t="s">
        <v>228</v>
      </c>
      <c r="B122" t="s">
        <v>228</v>
      </c>
      <c r="C122" t="s">
        <v>63</v>
      </c>
      <c r="D122" t="s">
        <v>64</v>
      </c>
      <c r="E122" s="3">
        <v>45857</v>
      </c>
      <c r="F122">
        <v>402.4</v>
      </c>
      <c r="G122" t="s">
        <v>56</v>
      </c>
      <c r="H122" t="s">
        <v>65</v>
      </c>
      <c r="I122" t="s">
        <v>58</v>
      </c>
      <c r="J122" t="s">
        <v>109</v>
      </c>
      <c r="K122" t="s">
        <v>105</v>
      </c>
      <c r="L122" t="s">
        <v>82</v>
      </c>
      <c r="M122" t="s">
        <v>83</v>
      </c>
      <c r="N122" s="3">
        <v>45857</v>
      </c>
      <c r="O122">
        <v>402.4</v>
      </c>
      <c r="P122" t="s">
        <v>56</v>
      </c>
      <c r="Q122" t="s">
        <v>65</v>
      </c>
      <c r="R122" t="s">
        <v>58</v>
      </c>
      <c r="S122" t="s">
        <v>109</v>
      </c>
      <c r="T122" t="s">
        <v>105</v>
      </c>
      <c r="U122" t="s">
        <v>63</v>
      </c>
      <c r="V122" t="b">
        <v>1</v>
      </c>
      <c r="W122">
        <v>0</v>
      </c>
      <c r="X122">
        <v>0</v>
      </c>
      <c r="Y122" t="s">
        <v>14</v>
      </c>
    </row>
    <row r="123" spans="1:25">
      <c r="A123" t="s">
        <v>229</v>
      </c>
      <c r="B123" t="s">
        <v>229</v>
      </c>
      <c r="C123" t="s">
        <v>87</v>
      </c>
      <c r="D123" t="s">
        <v>88</v>
      </c>
      <c r="E123" s="3">
        <v>45865</v>
      </c>
      <c r="F123">
        <v>288.52</v>
      </c>
      <c r="G123" t="s">
        <v>56</v>
      </c>
      <c r="H123" t="s">
        <v>73</v>
      </c>
      <c r="I123" t="s">
        <v>58</v>
      </c>
      <c r="J123" t="s">
        <v>66</v>
      </c>
      <c r="K123" t="s">
        <v>107</v>
      </c>
      <c r="L123" t="s">
        <v>100</v>
      </c>
      <c r="M123" t="s">
        <v>101</v>
      </c>
      <c r="N123" s="3">
        <v>45865</v>
      </c>
      <c r="O123">
        <v>288.52</v>
      </c>
      <c r="P123" t="s">
        <v>56</v>
      </c>
      <c r="Q123" t="s">
        <v>73</v>
      </c>
      <c r="R123" t="s">
        <v>58</v>
      </c>
      <c r="S123" t="s">
        <v>66</v>
      </c>
      <c r="T123" t="s">
        <v>107</v>
      </c>
      <c r="U123" t="s">
        <v>87</v>
      </c>
      <c r="V123" t="b">
        <v>1</v>
      </c>
      <c r="W123">
        <v>0</v>
      </c>
      <c r="X123">
        <v>0</v>
      </c>
      <c r="Y123" t="s">
        <v>14</v>
      </c>
    </row>
    <row r="124" spans="1:25">
      <c r="A124" t="s">
        <v>230</v>
      </c>
      <c r="B124" t="s">
        <v>230</v>
      </c>
      <c r="C124" t="s">
        <v>87</v>
      </c>
      <c r="D124" t="s">
        <v>88</v>
      </c>
      <c r="E124" s="3">
        <v>45890</v>
      </c>
      <c r="F124">
        <v>659.28</v>
      </c>
      <c r="G124" t="s">
        <v>56</v>
      </c>
      <c r="H124" t="s">
        <v>65</v>
      </c>
      <c r="I124" t="s">
        <v>77</v>
      </c>
      <c r="J124" t="s">
        <v>99</v>
      </c>
      <c r="K124" t="s">
        <v>78</v>
      </c>
      <c r="L124" t="s">
        <v>100</v>
      </c>
      <c r="M124" t="s">
        <v>101</v>
      </c>
      <c r="N124" s="3">
        <v>45890</v>
      </c>
      <c r="O124">
        <v>659.28</v>
      </c>
      <c r="P124" t="s">
        <v>56</v>
      </c>
      <c r="Q124" t="s">
        <v>65</v>
      </c>
      <c r="R124" t="s">
        <v>77</v>
      </c>
      <c r="S124" t="s">
        <v>99</v>
      </c>
      <c r="T124" t="s">
        <v>78</v>
      </c>
      <c r="U124" t="s">
        <v>87</v>
      </c>
      <c r="V124" t="b">
        <v>1</v>
      </c>
      <c r="W124">
        <v>0</v>
      </c>
      <c r="X124">
        <v>0</v>
      </c>
      <c r="Y124" t="s">
        <v>14</v>
      </c>
    </row>
    <row r="125" spans="1:25">
      <c r="A125" t="s">
        <v>231</v>
      </c>
      <c r="B125" t="s">
        <v>231</v>
      </c>
      <c r="C125" t="s">
        <v>119</v>
      </c>
      <c r="D125" t="s">
        <v>120</v>
      </c>
      <c r="E125" s="3">
        <v>45857</v>
      </c>
      <c r="F125">
        <v>-532.66</v>
      </c>
      <c r="G125" t="s">
        <v>56</v>
      </c>
      <c r="H125" t="s">
        <v>80</v>
      </c>
      <c r="I125" t="s">
        <v>77</v>
      </c>
      <c r="J125" t="s">
        <v>99</v>
      </c>
      <c r="K125" t="s">
        <v>138</v>
      </c>
      <c r="L125" t="s">
        <v>121</v>
      </c>
      <c r="M125" t="s">
        <v>122</v>
      </c>
      <c r="N125" s="3">
        <v>45856</v>
      </c>
      <c r="O125">
        <v>-533.52</v>
      </c>
      <c r="P125" t="s">
        <v>56</v>
      </c>
      <c r="Q125" t="s">
        <v>80</v>
      </c>
      <c r="R125" t="s">
        <v>77</v>
      </c>
      <c r="S125" t="s">
        <v>99</v>
      </c>
      <c r="T125" t="s">
        <v>138</v>
      </c>
      <c r="U125" t="s">
        <v>119</v>
      </c>
      <c r="V125" t="b">
        <v>1</v>
      </c>
      <c r="W125">
        <v>0.86</v>
      </c>
      <c r="X125">
        <v>1</v>
      </c>
      <c r="Y125" t="s">
        <v>15</v>
      </c>
    </row>
    <row r="126" spans="1:25">
      <c r="A126" t="s">
        <v>232</v>
      </c>
      <c r="B126" t="s">
        <v>232</v>
      </c>
      <c r="C126" t="s">
        <v>87</v>
      </c>
      <c r="D126" t="s">
        <v>88</v>
      </c>
      <c r="E126" s="3">
        <v>45887</v>
      </c>
      <c r="F126">
        <v>481.05</v>
      </c>
      <c r="G126" t="s">
        <v>56</v>
      </c>
      <c r="H126" t="s">
        <v>65</v>
      </c>
      <c r="I126" t="s">
        <v>58</v>
      </c>
      <c r="J126" t="s">
        <v>117</v>
      </c>
      <c r="K126" t="s">
        <v>105</v>
      </c>
      <c r="L126" t="s">
        <v>89</v>
      </c>
      <c r="M126" t="s">
        <v>90</v>
      </c>
      <c r="N126" s="3">
        <v>45887</v>
      </c>
      <c r="O126">
        <v>481.05</v>
      </c>
      <c r="P126" t="s">
        <v>56</v>
      </c>
      <c r="Q126" t="s">
        <v>65</v>
      </c>
      <c r="R126" t="s">
        <v>58</v>
      </c>
      <c r="S126" t="s">
        <v>117</v>
      </c>
      <c r="T126" t="s">
        <v>105</v>
      </c>
      <c r="U126" t="s">
        <v>87</v>
      </c>
      <c r="V126" t="b">
        <v>1</v>
      </c>
      <c r="W126">
        <v>0</v>
      </c>
      <c r="X126">
        <v>0</v>
      </c>
      <c r="Y126" t="s">
        <v>14</v>
      </c>
    </row>
    <row r="127" spans="1:25">
      <c r="A127" t="s">
        <v>233</v>
      </c>
      <c r="B127" t="s">
        <v>233</v>
      </c>
      <c r="C127" t="s">
        <v>87</v>
      </c>
      <c r="D127" t="s">
        <v>88</v>
      </c>
      <c r="E127" s="3">
        <v>45860</v>
      </c>
      <c r="F127">
        <v>-695.33</v>
      </c>
      <c r="G127" t="s">
        <v>56</v>
      </c>
      <c r="H127" t="s">
        <v>73</v>
      </c>
      <c r="I127" t="s">
        <v>77</v>
      </c>
      <c r="J127" t="s">
        <v>66</v>
      </c>
      <c r="K127" t="s">
        <v>138</v>
      </c>
      <c r="L127" t="s">
        <v>100</v>
      </c>
      <c r="M127" t="s">
        <v>101</v>
      </c>
      <c r="N127" s="3">
        <v>45858</v>
      </c>
      <c r="O127">
        <v>-685.77</v>
      </c>
      <c r="P127" t="s">
        <v>56</v>
      </c>
      <c r="Q127" t="s">
        <v>73</v>
      </c>
      <c r="R127" t="s">
        <v>77</v>
      </c>
      <c r="S127" t="s">
        <v>66</v>
      </c>
      <c r="T127" t="s">
        <v>138</v>
      </c>
      <c r="U127" t="s">
        <v>87</v>
      </c>
      <c r="V127" t="b">
        <v>1</v>
      </c>
      <c r="W127">
        <v>-9.56</v>
      </c>
      <c r="X127">
        <v>2</v>
      </c>
      <c r="Y127" t="s">
        <v>17</v>
      </c>
    </row>
    <row r="128" spans="1:25">
      <c r="A128" t="s">
        <v>234</v>
      </c>
      <c r="B128" t="s">
        <v>234</v>
      </c>
      <c r="C128" t="s">
        <v>87</v>
      </c>
      <c r="D128" t="s">
        <v>88</v>
      </c>
      <c r="E128" s="3">
        <v>45899</v>
      </c>
      <c r="F128">
        <v>622.16</v>
      </c>
      <c r="G128" t="s">
        <v>56</v>
      </c>
      <c r="H128" t="s">
        <v>80</v>
      </c>
      <c r="I128" t="s">
        <v>97</v>
      </c>
      <c r="J128" t="s">
        <v>117</v>
      </c>
      <c r="K128" t="s">
        <v>107</v>
      </c>
      <c r="L128" t="s">
        <v>89</v>
      </c>
      <c r="M128" t="s">
        <v>90</v>
      </c>
      <c r="N128" s="3">
        <v>45899</v>
      </c>
      <c r="O128">
        <v>622.16</v>
      </c>
      <c r="P128" t="s">
        <v>56</v>
      </c>
      <c r="Q128" t="s">
        <v>80</v>
      </c>
      <c r="R128" t="s">
        <v>97</v>
      </c>
      <c r="S128" t="s">
        <v>117</v>
      </c>
      <c r="T128" t="s">
        <v>107</v>
      </c>
      <c r="U128" t="s">
        <v>87</v>
      </c>
      <c r="V128" t="b">
        <v>1</v>
      </c>
      <c r="W128">
        <v>0</v>
      </c>
      <c r="X128">
        <v>0</v>
      </c>
      <c r="Y128" t="s">
        <v>14</v>
      </c>
    </row>
    <row r="129" spans="1:25">
      <c r="A129" t="s">
        <v>235</v>
      </c>
      <c r="B129" t="s">
        <v>235</v>
      </c>
      <c r="C129" t="s">
        <v>54</v>
      </c>
      <c r="D129" t="s">
        <v>55</v>
      </c>
      <c r="E129" s="3">
        <v>45902</v>
      </c>
      <c r="F129">
        <v>590.54999999999995</v>
      </c>
      <c r="G129" t="s">
        <v>56</v>
      </c>
      <c r="H129" t="s">
        <v>73</v>
      </c>
      <c r="I129" t="s">
        <v>97</v>
      </c>
      <c r="J129" t="s">
        <v>66</v>
      </c>
      <c r="L129" t="s">
        <v>60</v>
      </c>
      <c r="M129" t="s">
        <v>61</v>
      </c>
      <c r="N129" s="3">
        <v>45901</v>
      </c>
      <c r="O129">
        <v>589.69000000000005</v>
      </c>
      <c r="P129" t="s">
        <v>56</v>
      </c>
      <c r="Q129" t="s">
        <v>73</v>
      </c>
      <c r="R129" t="s">
        <v>97</v>
      </c>
      <c r="S129" t="s">
        <v>66</v>
      </c>
      <c r="U129" t="s">
        <v>54</v>
      </c>
      <c r="V129" t="b">
        <v>1</v>
      </c>
      <c r="W129">
        <v>0.86</v>
      </c>
      <c r="X129">
        <v>1</v>
      </c>
      <c r="Y129" t="s">
        <v>15</v>
      </c>
    </row>
    <row r="130" spans="1:25">
      <c r="A130" t="s">
        <v>236</v>
      </c>
      <c r="B130" t="s">
        <v>236</v>
      </c>
      <c r="C130" t="s">
        <v>87</v>
      </c>
      <c r="D130" t="s">
        <v>88</v>
      </c>
      <c r="E130" s="3">
        <v>45904</v>
      </c>
      <c r="F130">
        <v>741.05</v>
      </c>
      <c r="G130" t="s">
        <v>56</v>
      </c>
      <c r="H130" t="s">
        <v>57</v>
      </c>
      <c r="I130" t="s">
        <v>97</v>
      </c>
      <c r="J130" t="s">
        <v>117</v>
      </c>
      <c r="K130" t="s">
        <v>78</v>
      </c>
      <c r="L130" t="s">
        <v>100</v>
      </c>
      <c r="M130" t="s">
        <v>101</v>
      </c>
      <c r="N130" s="3">
        <v>45905</v>
      </c>
      <c r="O130">
        <v>748.65</v>
      </c>
      <c r="P130" t="s">
        <v>56</v>
      </c>
      <c r="Q130" t="s">
        <v>57</v>
      </c>
      <c r="R130" t="s">
        <v>97</v>
      </c>
      <c r="S130" t="s">
        <v>117</v>
      </c>
      <c r="T130" t="s">
        <v>78</v>
      </c>
      <c r="U130" t="s">
        <v>87</v>
      </c>
      <c r="V130" t="b">
        <v>1</v>
      </c>
      <c r="W130">
        <v>-7.6</v>
      </c>
      <c r="X130">
        <v>-1</v>
      </c>
      <c r="Y130" t="s">
        <v>17</v>
      </c>
    </row>
    <row r="131" spans="1:25">
      <c r="A131" t="s">
        <v>237</v>
      </c>
      <c r="B131" t="s">
        <v>237</v>
      </c>
      <c r="C131" t="s">
        <v>87</v>
      </c>
      <c r="D131" t="s">
        <v>88</v>
      </c>
      <c r="E131" s="3">
        <v>45906</v>
      </c>
      <c r="F131">
        <v>570.91</v>
      </c>
      <c r="G131" t="s">
        <v>56</v>
      </c>
      <c r="H131" t="s">
        <v>65</v>
      </c>
      <c r="I131" t="s">
        <v>77</v>
      </c>
      <c r="J131" t="s">
        <v>81</v>
      </c>
      <c r="K131" t="s">
        <v>138</v>
      </c>
      <c r="L131" t="s">
        <v>100</v>
      </c>
      <c r="M131" t="s">
        <v>101</v>
      </c>
      <c r="N131" s="3">
        <v>45906</v>
      </c>
      <c r="O131">
        <v>570.83000000000004</v>
      </c>
      <c r="P131" t="s">
        <v>56</v>
      </c>
      <c r="Q131" t="s">
        <v>65</v>
      </c>
      <c r="R131" t="s">
        <v>77</v>
      </c>
      <c r="S131" t="s">
        <v>81</v>
      </c>
      <c r="T131" t="s">
        <v>138</v>
      </c>
      <c r="U131" t="s">
        <v>87</v>
      </c>
      <c r="V131" t="b">
        <v>1</v>
      </c>
      <c r="W131">
        <v>0.08</v>
      </c>
      <c r="X131">
        <v>0</v>
      </c>
      <c r="Y131" t="s">
        <v>15</v>
      </c>
    </row>
    <row r="132" spans="1:25">
      <c r="A132" t="s">
        <v>238</v>
      </c>
      <c r="B132" t="s">
        <v>238</v>
      </c>
      <c r="C132" t="s">
        <v>87</v>
      </c>
      <c r="D132" t="s">
        <v>88</v>
      </c>
      <c r="E132" s="3">
        <v>45863</v>
      </c>
      <c r="F132">
        <v>345.77</v>
      </c>
      <c r="G132" t="s">
        <v>56</v>
      </c>
      <c r="H132" t="s">
        <v>73</v>
      </c>
      <c r="I132" t="s">
        <v>97</v>
      </c>
      <c r="J132" t="s">
        <v>81</v>
      </c>
      <c r="K132" t="s">
        <v>67</v>
      </c>
      <c r="L132" t="s">
        <v>100</v>
      </c>
      <c r="M132" t="s">
        <v>101</v>
      </c>
      <c r="N132" s="3">
        <v>45862</v>
      </c>
      <c r="O132">
        <v>346.84</v>
      </c>
      <c r="P132" t="s">
        <v>56</v>
      </c>
      <c r="Q132" t="s">
        <v>73</v>
      </c>
      <c r="R132" t="s">
        <v>97</v>
      </c>
      <c r="S132" t="s">
        <v>81</v>
      </c>
      <c r="T132" t="s">
        <v>67</v>
      </c>
      <c r="U132" t="s">
        <v>87</v>
      </c>
      <c r="V132" t="b">
        <v>1</v>
      </c>
      <c r="W132">
        <v>-1.07</v>
      </c>
      <c r="X132">
        <v>1</v>
      </c>
      <c r="Y132" t="s">
        <v>17</v>
      </c>
    </row>
    <row r="133" spans="1:25">
      <c r="A133" t="s">
        <v>239</v>
      </c>
      <c r="B133" t="s">
        <v>239</v>
      </c>
      <c r="C133" t="s">
        <v>71</v>
      </c>
      <c r="D133" t="s">
        <v>72</v>
      </c>
      <c r="E133" s="3">
        <v>45915</v>
      </c>
      <c r="F133">
        <v>409.43</v>
      </c>
      <c r="G133" t="s">
        <v>56</v>
      </c>
      <c r="H133" t="s">
        <v>65</v>
      </c>
      <c r="I133" t="s">
        <v>77</v>
      </c>
      <c r="J133" t="s">
        <v>66</v>
      </c>
      <c r="K133" t="s">
        <v>78</v>
      </c>
      <c r="L133" t="s">
        <v>74</v>
      </c>
      <c r="M133" t="s">
        <v>75</v>
      </c>
      <c r="N133" s="3">
        <v>45917</v>
      </c>
      <c r="O133">
        <v>413.17</v>
      </c>
      <c r="P133" t="s">
        <v>56</v>
      </c>
      <c r="Q133" t="s">
        <v>65</v>
      </c>
      <c r="R133" t="s">
        <v>77</v>
      </c>
      <c r="S133" t="s">
        <v>66</v>
      </c>
      <c r="T133" t="s">
        <v>78</v>
      </c>
      <c r="U133" t="s">
        <v>71</v>
      </c>
      <c r="V133" t="b">
        <v>1</v>
      </c>
      <c r="W133">
        <v>-3.74</v>
      </c>
      <c r="X133">
        <v>-2</v>
      </c>
      <c r="Y133" t="s">
        <v>17</v>
      </c>
    </row>
    <row r="134" spans="1:25">
      <c r="A134" t="s">
        <v>240</v>
      </c>
      <c r="B134" t="s">
        <v>240</v>
      </c>
      <c r="C134" t="s">
        <v>63</v>
      </c>
      <c r="D134" t="s">
        <v>64</v>
      </c>
      <c r="E134" s="3">
        <v>45895</v>
      </c>
      <c r="F134">
        <v>-369.76</v>
      </c>
      <c r="G134" t="s">
        <v>56</v>
      </c>
      <c r="H134" t="s">
        <v>57</v>
      </c>
      <c r="I134" t="s">
        <v>58</v>
      </c>
      <c r="J134" t="s">
        <v>81</v>
      </c>
      <c r="K134" t="s">
        <v>67</v>
      </c>
      <c r="L134" t="s">
        <v>82</v>
      </c>
      <c r="M134" t="s">
        <v>83</v>
      </c>
      <c r="N134" s="3">
        <v>45894</v>
      </c>
      <c r="O134">
        <v>-370.61</v>
      </c>
      <c r="P134" t="s">
        <v>56</v>
      </c>
      <c r="Q134" t="s">
        <v>57</v>
      </c>
      <c r="R134" t="s">
        <v>58</v>
      </c>
      <c r="S134" t="s">
        <v>81</v>
      </c>
      <c r="T134" t="s">
        <v>67</v>
      </c>
      <c r="U134" t="s">
        <v>63</v>
      </c>
      <c r="V134" t="b">
        <v>1</v>
      </c>
      <c r="W134">
        <v>0.85</v>
      </c>
      <c r="X134">
        <v>1</v>
      </c>
      <c r="Y134" t="s">
        <v>15</v>
      </c>
    </row>
    <row r="135" spans="1:25">
      <c r="A135" t="s">
        <v>241</v>
      </c>
      <c r="B135" t="s">
        <v>241</v>
      </c>
      <c r="C135" t="s">
        <v>92</v>
      </c>
      <c r="D135" t="s">
        <v>93</v>
      </c>
      <c r="E135" s="3">
        <v>45914</v>
      </c>
      <c r="F135">
        <v>552.42999999999995</v>
      </c>
      <c r="G135" t="s">
        <v>56</v>
      </c>
      <c r="H135" t="s">
        <v>80</v>
      </c>
      <c r="I135" t="s">
        <v>58</v>
      </c>
      <c r="J135" t="s">
        <v>66</v>
      </c>
      <c r="K135" t="s">
        <v>78</v>
      </c>
      <c r="L135" t="s">
        <v>94</v>
      </c>
      <c r="M135" t="s">
        <v>95</v>
      </c>
      <c r="N135" s="3">
        <v>45914</v>
      </c>
      <c r="O135">
        <v>552.42999999999995</v>
      </c>
      <c r="P135" t="s">
        <v>56</v>
      </c>
      <c r="Q135" t="s">
        <v>80</v>
      </c>
      <c r="R135" t="s">
        <v>58</v>
      </c>
      <c r="S135" t="s">
        <v>66</v>
      </c>
      <c r="T135" t="s">
        <v>78</v>
      </c>
      <c r="U135" t="s">
        <v>92</v>
      </c>
      <c r="V135" t="b">
        <v>1</v>
      </c>
      <c r="W135">
        <v>0</v>
      </c>
      <c r="X135">
        <v>0</v>
      </c>
      <c r="Y135" t="s">
        <v>14</v>
      </c>
    </row>
    <row r="136" spans="1:25">
      <c r="A136" t="s">
        <v>242</v>
      </c>
      <c r="B136" t="s">
        <v>242</v>
      </c>
      <c r="C136" t="s">
        <v>54</v>
      </c>
      <c r="D136" t="s">
        <v>55</v>
      </c>
      <c r="E136" s="3">
        <v>45869</v>
      </c>
      <c r="F136">
        <v>-230.5</v>
      </c>
      <c r="G136" t="s">
        <v>56</v>
      </c>
      <c r="H136" t="s">
        <v>73</v>
      </c>
      <c r="I136" t="s">
        <v>58</v>
      </c>
      <c r="J136" t="s">
        <v>99</v>
      </c>
      <c r="K136" t="s">
        <v>105</v>
      </c>
      <c r="L136" t="s">
        <v>60</v>
      </c>
      <c r="M136" t="s">
        <v>61</v>
      </c>
      <c r="N136" s="3">
        <v>45869</v>
      </c>
      <c r="O136">
        <v>-230.5</v>
      </c>
      <c r="P136" t="s">
        <v>56</v>
      </c>
      <c r="Q136" t="s">
        <v>73</v>
      </c>
      <c r="R136" t="s">
        <v>58</v>
      </c>
      <c r="S136" t="s">
        <v>99</v>
      </c>
      <c r="T136" t="s">
        <v>105</v>
      </c>
      <c r="U136" t="s">
        <v>54</v>
      </c>
      <c r="V136" t="b">
        <v>1</v>
      </c>
      <c r="W136">
        <v>0</v>
      </c>
      <c r="X136">
        <v>0</v>
      </c>
      <c r="Y136" t="s">
        <v>14</v>
      </c>
    </row>
    <row r="137" spans="1:25">
      <c r="A137" t="s">
        <v>243</v>
      </c>
      <c r="B137" t="s">
        <v>243</v>
      </c>
      <c r="C137" t="s">
        <v>71</v>
      </c>
      <c r="D137" t="s">
        <v>72</v>
      </c>
      <c r="E137" s="3">
        <v>45910</v>
      </c>
      <c r="F137">
        <v>-41.89</v>
      </c>
      <c r="G137" t="s">
        <v>56</v>
      </c>
      <c r="H137" t="s">
        <v>80</v>
      </c>
      <c r="I137" t="s">
        <v>77</v>
      </c>
      <c r="J137" t="s">
        <v>81</v>
      </c>
      <c r="K137" t="s">
        <v>107</v>
      </c>
      <c r="L137" t="s">
        <v>74</v>
      </c>
      <c r="M137" t="s">
        <v>75</v>
      </c>
      <c r="N137" s="3">
        <v>45912</v>
      </c>
      <c r="O137">
        <v>-42.28</v>
      </c>
      <c r="P137" t="s">
        <v>56</v>
      </c>
      <c r="Q137" t="s">
        <v>80</v>
      </c>
      <c r="R137" t="s">
        <v>77</v>
      </c>
      <c r="S137" t="s">
        <v>81</v>
      </c>
      <c r="T137" t="s">
        <v>107</v>
      </c>
      <c r="U137" t="s">
        <v>71</v>
      </c>
      <c r="V137" t="b">
        <v>1</v>
      </c>
      <c r="W137">
        <v>0.39</v>
      </c>
      <c r="X137">
        <v>-2</v>
      </c>
      <c r="Y137" t="s">
        <v>15</v>
      </c>
    </row>
    <row r="138" spans="1:25">
      <c r="A138" t="s">
        <v>244</v>
      </c>
      <c r="B138" t="s">
        <v>244</v>
      </c>
      <c r="C138" t="s">
        <v>63</v>
      </c>
      <c r="D138" t="s">
        <v>64</v>
      </c>
      <c r="E138" s="3">
        <v>45862</v>
      </c>
      <c r="F138">
        <v>-522.04</v>
      </c>
      <c r="G138" t="s">
        <v>56</v>
      </c>
      <c r="H138" t="s">
        <v>80</v>
      </c>
      <c r="I138" t="s">
        <v>77</v>
      </c>
      <c r="J138" t="s">
        <v>66</v>
      </c>
      <c r="K138" t="s">
        <v>59</v>
      </c>
      <c r="L138" t="s">
        <v>82</v>
      </c>
      <c r="M138" t="s">
        <v>83</v>
      </c>
      <c r="N138" s="3">
        <v>45862</v>
      </c>
      <c r="O138">
        <v>-522.04</v>
      </c>
      <c r="P138" t="s">
        <v>56</v>
      </c>
      <c r="Q138" t="s">
        <v>80</v>
      </c>
      <c r="R138" t="s">
        <v>77</v>
      </c>
      <c r="S138" t="s">
        <v>66</v>
      </c>
      <c r="T138" t="s">
        <v>59</v>
      </c>
      <c r="U138" t="s">
        <v>63</v>
      </c>
      <c r="V138" t="b">
        <v>1</v>
      </c>
      <c r="W138">
        <v>0</v>
      </c>
      <c r="X138">
        <v>0</v>
      </c>
      <c r="Y138" t="s">
        <v>14</v>
      </c>
    </row>
    <row r="139" spans="1:25">
      <c r="A139" t="s">
        <v>245</v>
      </c>
      <c r="B139" t="s">
        <v>245</v>
      </c>
      <c r="C139" t="s">
        <v>87</v>
      </c>
      <c r="D139" t="s">
        <v>88</v>
      </c>
      <c r="E139" s="3">
        <v>45881</v>
      </c>
      <c r="F139">
        <v>-165.87</v>
      </c>
      <c r="G139" t="s">
        <v>56</v>
      </c>
      <c r="H139" t="s">
        <v>80</v>
      </c>
      <c r="I139" t="s">
        <v>77</v>
      </c>
      <c r="J139" t="s">
        <v>66</v>
      </c>
      <c r="K139" t="s">
        <v>107</v>
      </c>
      <c r="L139" t="s">
        <v>89</v>
      </c>
      <c r="M139" t="s">
        <v>90</v>
      </c>
      <c r="N139" s="3">
        <v>45881</v>
      </c>
      <c r="O139">
        <v>-165.87</v>
      </c>
      <c r="P139" t="s">
        <v>56</v>
      </c>
      <c r="Q139" t="s">
        <v>80</v>
      </c>
      <c r="R139" t="s">
        <v>77</v>
      </c>
      <c r="S139" t="s">
        <v>66</v>
      </c>
      <c r="T139" t="s">
        <v>107</v>
      </c>
      <c r="U139" t="s">
        <v>87</v>
      </c>
      <c r="V139" t="b">
        <v>1</v>
      </c>
      <c r="W139">
        <v>0</v>
      </c>
      <c r="X139">
        <v>0</v>
      </c>
      <c r="Y139" t="s">
        <v>14</v>
      </c>
    </row>
    <row r="140" spans="1:25">
      <c r="A140" t="s">
        <v>246</v>
      </c>
      <c r="B140" t="s">
        <v>246</v>
      </c>
      <c r="C140" t="s">
        <v>92</v>
      </c>
      <c r="D140" t="s">
        <v>93</v>
      </c>
      <c r="E140" s="3">
        <v>45869</v>
      </c>
      <c r="F140">
        <v>-12.01</v>
      </c>
      <c r="G140" t="s">
        <v>56</v>
      </c>
      <c r="H140" t="s">
        <v>73</v>
      </c>
      <c r="I140" t="s">
        <v>97</v>
      </c>
      <c r="J140" t="s">
        <v>99</v>
      </c>
      <c r="K140" t="s">
        <v>138</v>
      </c>
      <c r="L140" t="s">
        <v>94</v>
      </c>
      <c r="M140" t="s">
        <v>95</v>
      </c>
      <c r="N140" s="3">
        <v>45869</v>
      </c>
      <c r="O140">
        <v>-12.01</v>
      </c>
      <c r="P140" t="s">
        <v>56</v>
      </c>
      <c r="Q140" t="s">
        <v>73</v>
      </c>
      <c r="R140" t="s">
        <v>97</v>
      </c>
      <c r="S140" t="s">
        <v>99</v>
      </c>
      <c r="T140" t="s">
        <v>138</v>
      </c>
      <c r="U140" t="s">
        <v>92</v>
      </c>
      <c r="V140" t="b">
        <v>1</v>
      </c>
      <c r="W140">
        <v>0</v>
      </c>
      <c r="X140">
        <v>0</v>
      </c>
      <c r="Y140" t="s">
        <v>14</v>
      </c>
    </row>
    <row r="141" spans="1:25">
      <c r="A141" t="s">
        <v>247</v>
      </c>
      <c r="B141" t="s">
        <v>247</v>
      </c>
      <c r="C141" t="s">
        <v>92</v>
      </c>
      <c r="D141" t="s">
        <v>93</v>
      </c>
      <c r="E141" s="3">
        <v>45858</v>
      </c>
      <c r="F141">
        <v>593.33000000000004</v>
      </c>
      <c r="G141" t="s">
        <v>56</v>
      </c>
      <c r="H141" t="s">
        <v>65</v>
      </c>
      <c r="I141" t="s">
        <v>77</v>
      </c>
      <c r="J141" t="s">
        <v>66</v>
      </c>
      <c r="K141" t="s">
        <v>67</v>
      </c>
      <c r="L141" t="s">
        <v>94</v>
      </c>
      <c r="M141" t="s">
        <v>95</v>
      </c>
      <c r="N141" s="3">
        <v>45858</v>
      </c>
      <c r="O141">
        <v>592.66</v>
      </c>
      <c r="P141" t="s">
        <v>56</v>
      </c>
      <c r="Q141" t="s">
        <v>65</v>
      </c>
      <c r="R141" t="s">
        <v>77</v>
      </c>
      <c r="S141" t="s">
        <v>66</v>
      </c>
      <c r="T141" t="s">
        <v>67</v>
      </c>
      <c r="U141" t="s">
        <v>92</v>
      </c>
      <c r="V141" t="b">
        <v>1</v>
      </c>
      <c r="W141">
        <v>0.67</v>
      </c>
      <c r="X141">
        <v>0</v>
      </c>
      <c r="Y141" t="s">
        <v>15</v>
      </c>
    </row>
    <row r="142" spans="1:25">
      <c r="A142" t="s">
        <v>248</v>
      </c>
      <c r="B142" t="s">
        <v>248</v>
      </c>
      <c r="C142" t="s">
        <v>63</v>
      </c>
      <c r="D142" t="s">
        <v>64</v>
      </c>
      <c r="E142" s="3">
        <v>45886</v>
      </c>
      <c r="F142">
        <v>-322.24</v>
      </c>
      <c r="G142" t="s">
        <v>56</v>
      </c>
      <c r="H142" t="s">
        <v>57</v>
      </c>
      <c r="I142" t="s">
        <v>103</v>
      </c>
      <c r="J142" t="s">
        <v>81</v>
      </c>
      <c r="K142" t="s">
        <v>105</v>
      </c>
      <c r="L142" t="s">
        <v>82</v>
      </c>
      <c r="M142" t="s">
        <v>83</v>
      </c>
      <c r="N142" s="3">
        <v>45886</v>
      </c>
      <c r="O142">
        <v>-322.58999999999997</v>
      </c>
      <c r="P142" t="s">
        <v>56</v>
      </c>
      <c r="Q142" t="s">
        <v>57</v>
      </c>
      <c r="R142" t="s">
        <v>103</v>
      </c>
      <c r="S142" t="s">
        <v>81</v>
      </c>
      <c r="T142" t="s">
        <v>105</v>
      </c>
      <c r="U142" t="s">
        <v>63</v>
      </c>
      <c r="V142" t="b">
        <v>1</v>
      </c>
      <c r="W142">
        <v>0.35</v>
      </c>
      <c r="X142">
        <v>0</v>
      </c>
      <c r="Y142" t="s">
        <v>15</v>
      </c>
    </row>
    <row r="143" spans="1:25">
      <c r="A143" t="s">
        <v>249</v>
      </c>
      <c r="B143" t="s">
        <v>249</v>
      </c>
      <c r="C143" t="s">
        <v>63</v>
      </c>
      <c r="D143" t="s">
        <v>64</v>
      </c>
      <c r="E143" s="3">
        <v>45914</v>
      </c>
      <c r="F143">
        <v>624.03</v>
      </c>
      <c r="G143" t="s">
        <v>56</v>
      </c>
      <c r="H143" t="s">
        <v>80</v>
      </c>
      <c r="I143" t="s">
        <v>103</v>
      </c>
      <c r="J143" t="s">
        <v>99</v>
      </c>
      <c r="K143" t="s">
        <v>59</v>
      </c>
      <c r="L143" t="s">
        <v>68</v>
      </c>
      <c r="M143" t="s">
        <v>69</v>
      </c>
      <c r="N143" s="3">
        <v>45914</v>
      </c>
      <c r="O143">
        <v>624.03</v>
      </c>
      <c r="P143" t="s">
        <v>56</v>
      </c>
      <c r="Q143" t="s">
        <v>80</v>
      </c>
      <c r="R143" t="s">
        <v>103</v>
      </c>
      <c r="S143" t="s">
        <v>99</v>
      </c>
      <c r="T143" t="s">
        <v>59</v>
      </c>
      <c r="U143" t="s">
        <v>63</v>
      </c>
      <c r="V143" t="b">
        <v>1</v>
      </c>
      <c r="W143">
        <v>0</v>
      </c>
      <c r="X143">
        <v>0</v>
      </c>
      <c r="Y143" t="s">
        <v>14</v>
      </c>
    </row>
    <row r="144" spans="1:25">
      <c r="A144" t="s">
        <v>250</v>
      </c>
      <c r="B144" t="s">
        <v>250</v>
      </c>
      <c r="C144" t="s">
        <v>63</v>
      </c>
      <c r="D144" t="s">
        <v>64</v>
      </c>
      <c r="E144" s="3">
        <v>45873</v>
      </c>
      <c r="F144">
        <v>367.29</v>
      </c>
      <c r="G144" t="s">
        <v>56</v>
      </c>
      <c r="H144" t="s">
        <v>80</v>
      </c>
      <c r="I144" t="s">
        <v>103</v>
      </c>
      <c r="J144" t="s">
        <v>99</v>
      </c>
      <c r="K144" t="s">
        <v>107</v>
      </c>
      <c r="L144" t="s">
        <v>82</v>
      </c>
      <c r="M144" t="s">
        <v>83</v>
      </c>
      <c r="N144" s="3">
        <v>45873</v>
      </c>
      <c r="O144">
        <v>367.29</v>
      </c>
      <c r="P144" t="s">
        <v>56</v>
      </c>
      <c r="Q144" t="s">
        <v>80</v>
      </c>
      <c r="R144" t="s">
        <v>103</v>
      </c>
      <c r="S144" t="s">
        <v>99</v>
      </c>
      <c r="T144" t="s">
        <v>107</v>
      </c>
      <c r="U144" t="s">
        <v>63</v>
      </c>
      <c r="V144" t="b">
        <v>1</v>
      </c>
      <c r="W144">
        <v>0</v>
      </c>
      <c r="X144">
        <v>0</v>
      </c>
      <c r="Y144" t="s">
        <v>14</v>
      </c>
    </row>
    <row r="145" spans="1:25">
      <c r="A145" t="s">
        <v>251</v>
      </c>
      <c r="B145" t="s">
        <v>251</v>
      </c>
      <c r="C145" t="s">
        <v>119</v>
      </c>
      <c r="D145" t="s">
        <v>120</v>
      </c>
      <c r="E145" s="3">
        <v>45915</v>
      </c>
      <c r="F145">
        <v>219.51</v>
      </c>
      <c r="G145" t="s">
        <v>56</v>
      </c>
      <c r="H145" t="s">
        <v>57</v>
      </c>
      <c r="I145" t="s">
        <v>58</v>
      </c>
      <c r="K145" t="s">
        <v>78</v>
      </c>
      <c r="L145" t="s">
        <v>121</v>
      </c>
      <c r="M145" t="s">
        <v>122</v>
      </c>
      <c r="N145" s="3">
        <v>45915</v>
      </c>
      <c r="O145">
        <v>219.51</v>
      </c>
      <c r="P145" t="s">
        <v>56</v>
      </c>
      <c r="Q145" t="s">
        <v>57</v>
      </c>
      <c r="R145" t="s">
        <v>58</v>
      </c>
      <c r="T145" t="s">
        <v>78</v>
      </c>
      <c r="U145" t="s">
        <v>119</v>
      </c>
      <c r="V145" t="b">
        <v>1</v>
      </c>
      <c r="W145">
        <v>0</v>
      </c>
      <c r="X145">
        <v>0</v>
      </c>
      <c r="Y145" t="s">
        <v>14</v>
      </c>
    </row>
    <row r="146" spans="1:25">
      <c r="A146" t="s">
        <v>252</v>
      </c>
      <c r="B146" t="s">
        <v>252</v>
      </c>
      <c r="C146" t="s">
        <v>63</v>
      </c>
      <c r="D146" t="s">
        <v>64</v>
      </c>
      <c r="E146" s="3">
        <v>45887</v>
      </c>
      <c r="F146">
        <v>189.12</v>
      </c>
      <c r="G146" t="s">
        <v>56</v>
      </c>
      <c r="H146" t="s">
        <v>73</v>
      </c>
      <c r="I146" t="s">
        <v>77</v>
      </c>
      <c r="K146" t="s">
        <v>138</v>
      </c>
      <c r="L146" t="s">
        <v>68</v>
      </c>
      <c r="M146" t="s">
        <v>69</v>
      </c>
      <c r="N146" s="3">
        <v>45887</v>
      </c>
      <c r="O146">
        <v>189.12</v>
      </c>
      <c r="P146" t="s">
        <v>56</v>
      </c>
      <c r="Q146" t="s">
        <v>73</v>
      </c>
      <c r="R146" t="s">
        <v>77</v>
      </c>
      <c r="T146" t="s">
        <v>138</v>
      </c>
      <c r="U146" t="s">
        <v>63</v>
      </c>
      <c r="V146" t="b">
        <v>1</v>
      </c>
      <c r="W146">
        <v>0</v>
      </c>
      <c r="X146">
        <v>0</v>
      </c>
      <c r="Y146" t="s">
        <v>14</v>
      </c>
    </row>
    <row r="147" spans="1:25">
      <c r="A147" t="s">
        <v>253</v>
      </c>
      <c r="B147" t="s">
        <v>253</v>
      </c>
      <c r="C147" t="s">
        <v>71</v>
      </c>
      <c r="D147" t="s">
        <v>72</v>
      </c>
      <c r="E147" s="3">
        <v>45909</v>
      </c>
      <c r="F147">
        <v>371.27</v>
      </c>
      <c r="G147" t="s">
        <v>56</v>
      </c>
      <c r="H147" t="s">
        <v>73</v>
      </c>
      <c r="I147" t="s">
        <v>97</v>
      </c>
      <c r="J147" t="s">
        <v>66</v>
      </c>
      <c r="L147" t="s">
        <v>74</v>
      </c>
      <c r="M147" t="s">
        <v>75</v>
      </c>
      <c r="N147" s="3">
        <v>45909</v>
      </c>
      <c r="O147">
        <v>371.27</v>
      </c>
      <c r="P147" t="s">
        <v>56</v>
      </c>
      <c r="Q147" t="s">
        <v>73</v>
      </c>
      <c r="R147" t="s">
        <v>97</v>
      </c>
      <c r="S147" t="s">
        <v>66</v>
      </c>
      <c r="U147" t="s">
        <v>71</v>
      </c>
      <c r="V147" t="b">
        <v>1</v>
      </c>
      <c r="W147">
        <v>0</v>
      </c>
      <c r="X147">
        <v>0</v>
      </c>
      <c r="Y147" t="s">
        <v>14</v>
      </c>
    </row>
    <row r="148" spans="1:25">
      <c r="A148" t="s">
        <v>254</v>
      </c>
      <c r="B148" t="s">
        <v>254</v>
      </c>
      <c r="C148" t="s">
        <v>87</v>
      </c>
      <c r="D148" t="s">
        <v>88</v>
      </c>
      <c r="E148" s="3">
        <v>45909</v>
      </c>
      <c r="F148">
        <v>431.65</v>
      </c>
      <c r="G148" t="s">
        <v>56</v>
      </c>
      <c r="H148" t="s">
        <v>65</v>
      </c>
      <c r="I148" t="s">
        <v>97</v>
      </c>
      <c r="J148" t="s">
        <v>99</v>
      </c>
      <c r="L148" t="s">
        <v>100</v>
      </c>
      <c r="M148" t="s">
        <v>101</v>
      </c>
      <c r="N148" s="3">
        <v>45909</v>
      </c>
      <c r="O148">
        <v>431.65</v>
      </c>
      <c r="P148" t="s">
        <v>56</v>
      </c>
      <c r="Q148" t="s">
        <v>65</v>
      </c>
      <c r="R148" t="s">
        <v>97</v>
      </c>
      <c r="S148" t="s">
        <v>99</v>
      </c>
      <c r="U148" t="s">
        <v>87</v>
      </c>
      <c r="V148" t="b">
        <v>1</v>
      </c>
      <c r="W148">
        <v>0</v>
      </c>
      <c r="X148">
        <v>0</v>
      </c>
      <c r="Y148" t="s">
        <v>14</v>
      </c>
    </row>
    <row r="149" spans="1:25">
      <c r="A149" t="s">
        <v>255</v>
      </c>
      <c r="B149" t="s">
        <v>255</v>
      </c>
      <c r="C149" t="s">
        <v>54</v>
      </c>
      <c r="D149" t="s">
        <v>55</v>
      </c>
      <c r="E149" s="3">
        <v>45886</v>
      </c>
      <c r="F149">
        <v>-294.13</v>
      </c>
      <c r="G149" t="s">
        <v>56</v>
      </c>
      <c r="H149" t="s">
        <v>57</v>
      </c>
      <c r="I149" t="s">
        <v>97</v>
      </c>
      <c r="J149" t="s">
        <v>117</v>
      </c>
      <c r="L149" t="s">
        <v>60</v>
      </c>
      <c r="M149" t="s">
        <v>61</v>
      </c>
      <c r="N149" s="3">
        <v>45886</v>
      </c>
      <c r="O149">
        <v>-294.13</v>
      </c>
      <c r="P149" t="s">
        <v>56</v>
      </c>
      <c r="Q149" t="s">
        <v>57</v>
      </c>
      <c r="R149" t="s">
        <v>97</v>
      </c>
      <c r="S149" t="s">
        <v>117</v>
      </c>
      <c r="U149" t="s">
        <v>54</v>
      </c>
      <c r="V149" t="b">
        <v>1</v>
      </c>
      <c r="W149">
        <v>0</v>
      </c>
      <c r="X149">
        <v>0</v>
      </c>
      <c r="Y149" t="s">
        <v>14</v>
      </c>
    </row>
    <row r="150" spans="1:25">
      <c r="A150" t="s">
        <v>256</v>
      </c>
      <c r="B150" t="s">
        <v>256</v>
      </c>
      <c r="C150" t="s">
        <v>150</v>
      </c>
      <c r="D150" t="s">
        <v>151</v>
      </c>
      <c r="E150" s="3">
        <v>45872</v>
      </c>
      <c r="F150">
        <v>429.72</v>
      </c>
      <c r="G150" t="s">
        <v>56</v>
      </c>
      <c r="H150" t="s">
        <v>57</v>
      </c>
      <c r="I150" t="s">
        <v>77</v>
      </c>
      <c r="J150" t="s">
        <v>85</v>
      </c>
      <c r="K150" t="s">
        <v>59</v>
      </c>
      <c r="L150" t="s">
        <v>152</v>
      </c>
      <c r="M150" t="s">
        <v>153</v>
      </c>
      <c r="N150" s="3">
        <v>45873</v>
      </c>
      <c r="O150">
        <v>429.97</v>
      </c>
      <c r="P150" t="s">
        <v>56</v>
      </c>
      <c r="Q150" t="s">
        <v>57</v>
      </c>
      <c r="R150" t="s">
        <v>77</v>
      </c>
      <c r="S150" t="s">
        <v>85</v>
      </c>
      <c r="T150" t="s">
        <v>59</v>
      </c>
      <c r="U150" t="s">
        <v>150</v>
      </c>
      <c r="V150" t="b">
        <v>1</v>
      </c>
      <c r="W150">
        <v>-0.25</v>
      </c>
      <c r="X150">
        <v>-1</v>
      </c>
      <c r="Y150" t="s">
        <v>15</v>
      </c>
    </row>
    <row r="151" spans="1:25">
      <c r="A151" t="s">
        <v>257</v>
      </c>
      <c r="B151" t="s">
        <v>257</v>
      </c>
      <c r="C151" t="s">
        <v>54</v>
      </c>
      <c r="D151" t="s">
        <v>55</v>
      </c>
      <c r="E151" s="3">
        <v>45867</v>
      </c>
      <c r="F151">
        <v>115.97</v>
      </c>
      <c r="G151" t="s">
        <v>56</v>
      </c>
      <c r="H151" t="s">
        <v>57</v>
      </c>
      <c r="I151" t="s">
        <v>58</v>
      </c>
      <c r="J151" t="s">
        <v>99</v>
      </c>
      <c r="K151" t="s">
        <v>59</v>
      </c>
      <c r="L151" t="s">
        <v>60</v>
      </c>
      <c r="M151" t="s">
        <v>61</v>
      </c>
      <c r="N151" s="3">
        <v>45867</v>
      </c>
      <c r="O151">
        <v>115.97</v>
      </c>
      <c r="P151" t="s">
        <v>56</v>
      </c>
      <c r="Q151" t="s">
        <v>57</v>
      </c>
      <c r="R151" t="s">
        <v>58</v>
      </c>
      <c r="S151" t="s">
        <v>99</v>
      </c>
      <c r="T151" t="s">
        <v>59</v>
      </c>
      <c r="U151" t="s">
        <v>54</v>
      </c>
      <c r="V151" t="b">
        <v>1</v>
      </c>
      <c r="W151">
        <v>0</v>
      </c>
      <c r="X151">
        <v>0</v>
      </c>
      <c r="Y151" t="s">
        <v>14</v>
      </c>
    </row>
    <row r="152" spans="1:25">
      <c r="A152" t="s">
        <v>258</v>
      </c>
      <c r="B152" t="s">
        <v>258</v>
      </c>
      <c r="C152" t="s">
        <v>63</v>
      </c>
      <c r="D152" t="s">
        <v>64</v>
      </c>
      <c r="E152" s="3">
        <v>45870</v>
      </c>
      <c r="F152">
        <v>-503.62</v>
      </c>
      <c r="G152" t="s">
        <v>56</v>
      </c>
      <c r="H152" t="s">
        <v>73</v>
      </c>
      <c r="I152" t="s">
        <v>77</v>
      </c>
      <c r="J152" t="s">
        <v>81</v>
      </c>
      <c r="K152" t="s">
        <v>78</v>
      </c>
      <c r="L152" t="s">
        <v>68</v>
      </c>
      <c r="M152" t="s">
        <v>69</v>
      </c>
      <c r="N152" s="3">
        <v>45870</v>
      </c>
      <c r="O152">
        <v>-503.62</v>
      </c>
      <c r="P152" t="s">
        <v>56</v>
      </c>
      <c r="Q152" t="s">
        <v>73</v>
      </c>
      <c r="R152" t="s">
        <v>77</v>
      </c>
      <c r="S152" t="s">
        <v>81</v>
      </c>
      <c r="T152" t="s">
        <v>78</v>
      </c>
      <c r="U152" t="s">
        <v>63</v>
      </c>
      <c r="V152" t="b">
        <v>1</v>
      </c>
      <c r="W152">
        <v>0</v>
      </c>
      <c r="X152">
        <v>0</v>
      </c>
      <c r="Y152" t="s">
        <v>14</v>
      </c>
    </row>
    <row r="153" spans="1:25">
      <c r="A153" t="s">
        <v>259</v>
      </c>
      <c r="B153" t="s">
        <v>259</v>
      </c>
      <c r="C153" t="s">
        <v>150</v>
      </c>
      <c r="D153" t="s">
        <v>151</v>
      </c>
      <c r="E153" s="3">
        <v>45883</v>
      </c>
      <c r="F153">
        <v>51.59</v>
      </c>
      <c r="G153" t="s">
        <v>56</v>
      </c>
      <c r="H153" t="s">
        <v>65</v>
      </c>
      <c r="I153" t="s">
        <v>58</v>
      </c>
      <c r="L153" t="s">
        <v>152</v>
      </c>
      <c r="M153" t="s">
        <v>153</v>
      </c>
      <c r="N153" s="3">
        <v>45881</v>
      </c>
      <c r="O153">
        <v>62.68</v>
      </c>
      <c r="P153" t="s">
        <v>56</v>
      </c>
      <c r="Q153" t="s">
        <v>65</v>
      </c>
      <c r="R153" t="s">
        <v>58</v>
      </c>
      <c r="U153" t="s">
        <v>150</v>
      </c>
      <c r="V153" t="b">
        <v>1</v>
      </c>
      <c r="W153">
        <v>-11.09</v>
      </c>
      <c r="X153">
        <v>2</v>
      </c>
      <c r="Y153" t="s">
        <v>17</v>
      </c>
    </row>
    <row r="154" spans="1:25">
      <c r="A154" t="s">
        <v>260</v>
      </c>
      <c r="B154" t="s">
        <v>260</v>
      </c>
      <c r="C154" t="s">
        <v>87</v>
      </c>
      <c r="D154" t="s">
        <v>88</v>
      </c>
      <c r="E154" s="3">
        <v>45875</v>
      </c>
      <c r="F154">
        <v>-451.54</v>
      </c>
      <c r="G154" t="s">
        <v>56</v>
      </c>
      <c r="H154" t="s">
        <v>80</v>
      </c>
      <c r="I154" t="s">
        <v>103</v>
      </c>
      <c r="J154" t="s">
        <v>99</v>
      </c>
      <c r="K154" t="s">
        <v>105</v>
      </c>
      <c r="L154" t="s">
        <v>100</v>
      </c>
      <c r="M154" t="s">
        <v>101</v>
      </c>
      <c r="N154" s="3">
        <v>45875</v>
      </c>
      <c r="O154">
        <v>-451.54</v>
      </c>
      <c r="P154" t="s">
        <v>56</v>
      </c>
      <c r="Q154" t="s">
        <v>80</v>
      </c>
      <c r="R154" t="s">
        <v>103</v>
      </c>
      <c r="S154" t="s">
        <v>99</v>
      </c>
      <c r="T154" t="s">
        <v>105</v>
      </c>
      <c r="U154" t="s">
        <v>87</v>
      </c>
      <c r="V154" t="b">
        <v>1</v>
      </c>
      <c r="W154">
        <v>0</v>
      </c>
      <c r="X154">
        <v>0</v>
      </c>
      <c r="Y154" t="s">
        <v>14</v>
      </c>
    </row>
    <row r="155" spans="1:25">
      <c r="A155" t="s">
        <v>261</v>
      </c>
      <c r="B155" t="s">
        <v>261</v>
      </c>
      <c r="C155" t="s">
        <v>87</v>
      </c>
      <c r="D155" t="s">
        <v>88</v>
      </c>
      <c r="E155" s="3">
        <v>45869</v>
      </c>
      <c r="F155">
        <v>674.32</v>
      </c>
      <c r="G155" t="s">
        <v>56</v>
      </c>
      <c r="H155" t="s">
        <v>65</v>
      </c>
      <c r="I155" t="s">
        <v>97</v>
      </c>
      <c r="J155" t="s">
        <v>81</v>
      </c>
      <c r="K155" t="s">
        <v>78</v>
      </c>
      <c r="L155" t="s">
        <v>100</v>
      </c>
      <c r="M155" t="s">
        <v>101</v>
      </c>
      <c r="N155" s="3">
        <v>45869</v>
      </c>
      <c r="O155">
        <v>674.32</v>
      </c>
      <c r="P155" t="s">
        <v>56</v>
      </c>
      <c r="Q155" t="s">
        <v>65</v>
      </c>
      <c r="R155" t="s">
        <v>97</v>
      </c>
      <c r="S155" t="s">
        <v>81</v>
      </c>
      <c r="T155" t="s">
        <v>78</v>
      </c>
      <c r="U155" t="s">
        <v>87</v>
      </c>
      <c r="V155" t="b">
        <v>1</v>
      </c>
      <c r="W155">
        <v>0</v>
      </c>
      <c r="X155">
        <v>0</v>
      </c>
      <c r="Y155" t="s">
        <v>14</v>
      </c>
    </row>
    <row r="156" spans="1:25">
      <c r="A156" t="s">
        <v>262</v>
      </c>
      <c r="B156" t="s">
        <v>262</v>
      </c>
      <c r="C156" t="s">
        <v>87</v>
      </c>
      <c r="D156" t="s">
        <v>88</v>
      </c>
      <c r="E156" s="3">
        <v>45913</v>
      </c>
      <c r="F156">
        <v>772.98</v>
      </c>
      <c r="G156" t="s">
        <v>56</v>
      </c>
      <c r="H156" t="s">
        <v>65</v>
      </c>
      <c r="I156" t="s">
        <v>103</v>
      </c>
      <c r="J156" t="s">
        <v>66</v>
      </c>
      <c r="K156" t="s">
        <v>67</v>
      </c>
      <c r="L156" t="s">
        <v>100</v>
      </c>
      <c r="M156" t="s">
        <v>101</v>
      </c>
      <c r="N156" s="3">
        <v>45913</v>
      </c>
      <c r="O156">
        <v>772.98</v>
      </c>
      <c r="P156" t="s">
        <v>56</v>
      </c>
      <c r="Q156" t="s">
        <v>65</v>
      </c>
      <c r="R156" t="s">
        <v>103</v>
      </c>
      <c r="S156" t="s">
        <v>66</v>
      </c>
      <c r="T156" t="s">
        <v>67</v>
      </c>
      <c r="U156" t="s">
        <v>87</v>
      </c>
      <c r="V156" t="b">
        <v>1</v>
      </c>
      <c r="W156">
        <v>0</v>
      </c>
      <c r="X156">
        <v>0</v>
      </c>
      <c r="Y156" t="s">
        <v>14</v>
      </c>
    </row>
    <row r="157" spans="1:25">
      <c r="A157" t="s">
        <v>263</v>
      </c>
      <c r="B157" t="s">
        <v>263</v>
      </c>
      <c r="C157" t="s">
        <v>87</v>
      </c>
      <c r="D157" t="s">
        <v>88</v>
      </c>
      <c r="E157" s="3">
        <v>45872</v>
      </c>
      <c r="F157">
        <v>928.6</v>
      </c>
      <c r="G157" t="s">
        <v>56</v>
      </c>
      <c r="H157" t="s">
        <v>65</v>
      </c>
      <c r="I157" t="s">
        <v>58</v>
      </c>
      <c r="J157" t="s">
        <v>109</v>
      </c>
      <c r="K157" t="s">
        <v>67</v>
      </c>
      <c r="L157" t="s">
        <v>100</v>
      </c>
      <c r="M157" t="s">
        <v>101</v>
      </c>
      <c r="N157" s="3">
        <v>45872</v>
      </c>
      <c r="O157">
        <v>929.6</v>
      </c>
      <c r="P157" t="s">
        <v>56</v>
      </c>
      <c r="Q157" t="s">
        <v>65</v>
      </c>
      <c r="R157" t="s">
        <v>58</v>
      </c>
      <c r="S157" t="s">
        <v>109</v>
      </c>
      <c r="T157" t="s">
        <v>67</v>
      </c>
      <c r="U157" t="s">
        <v>87</v>
      </c>
      <c r="V157" t="b">
        <v>1</v>
      </c>
      <c r="W157">
        <v>-1</v>
      </c>
      <c r="X157">
        <v>0</v>
      </c>
      <c r="Y157" t="s">
        <v>15</v>
      </c>
    </row>
    <row r="158" spans="1:25">
      <c r="A158" t="s">
        <v>264</v>
      </c>
      <c r="B158" t="s">
        <v>264</v>
      </c>
      <c r="C158" t="s">
        <v>63</v>
      </c>
      <c r="D158" t="s">
        <v>64</v>
      </c>
      <c r="E158" s="3">
        <v>45863</v>
      </c>
      <c r="F158">
        <v>-110.93</v>
      </c>
      <c r="G158" t="s">
        <v>56</v>
      </c>
      <c r="H158" t="s">
        <v>65</v>
      </c>
      <c r="I158" t="s">
        <v>77</v>
      </c>
      <c r="J158" t="s">
        <v>99</v>
      </c>
      <c r="K158" t="s">
        <v>107</v>
      </c>
      <c r="L158" t="s">
        <v>82</v>
      </c>
      <c r="M158" t="s">
        <v>83</v>
      </c>
      <c r="N158" s="3">
        <v>45863</v>
      </c>
      <c r="O158">
        <v>-110.93</v>
      </c>
      <c r="P158" t="s">
        <v>56</v>
      </c>
      <c r="Q158" t="s">
        <v>65</v>
      </c>
      <c r="R158" t="s">
        <v>77</v>
      </c>
      <c r="S158" t="s">
        <v>99</v>
      </c>
      <c r="T158" t="s">
        <v>107</v>
      </c>
      <c r="U158" t="s">
        <v>63</v>
      </c>
      <c r="V158" t="b">
        <v>1</v>
      </c>
      <c r="W158">
        <v>0</v>
      </c>
      <c r="X158">
        <v>0</v>
      </c>
      <c r="Y158" t="s">
        <v>14</v>
      </c>
    </row>
    <row r="159" spans="1:25">
      <c r="A159" t="s">
        <v>265</v>
      </c>
      <c r="B159" t="s">
        <v>265</v>
      </c>
      <c r="C159" t="s">
        <v>87</v>
      </c>
      <c r="D159" t="s">
        <v>88</v>
      </c>
      <c r="E159" s="3">
        <v>45871</v>
      </c>
      <c r="F159">
        <v>-689.68</v>
      </c>
      <c r="G159" t="s">
        <v>56</v>
      </c>
      <c r="H159" t="s">
        <v>65</v>
      </c>
      <c r="I159" t="s">
        <v>97</v>
      </c>
      <c r="J159" t="s">
        <v>66</v>
      </c>
      <c r="K159" t="s">
        <v>138</v>
      </c>
      <c r="L159" t="s">
        <v>100</v>
      </c>
      <c r="M159" t="s">
        <v>101</v>
      </c>
      <c r="N159" s="3">
        <v>45870</v>
      </c>
      <c r="O159">
        <v>-690.12</v>
      </c>
      <c r="P159" t="s">
        <v>56</v>
      </c>
      <c r="Q159" t="s">
        <v>65</v>
      </c>
      <c r="R159" t="s">
        <v>97</v>
      </c>
      <c r="S159" t="s">
        <v>66</v>
      </c>
      <c r="T159" t="s">
        <v>138</v>
      </c>
      <c r="U159" t="s">
        <v>87</v>
      </c>
      <c r="V159" t="b">
        <v>1</v>
      </c>
      <c r="W159">
        <v>0.44</v>
      </c>
      <c r="X159">
        <v>1</v>
      </c>
      <c r="Y159" t="s">
        <v>15</v>
      </c>
    </row>
    <row r="160" spans="1:25">
      <c r="A160" t="s">
        <v>266</v>
      </c>
      <c r="B160" t="s">
        <v>266</v>
      </c>
      <c r="C160" t="s">
        <v>92</v>
      </c>
      <c r="D160" t="s">
        <v>93</v>
      </c>
      <c r="E160" s="3">
        <v>45912</v>
      </c>
      <c r="F160">
        <v>-801.57</v>
      </c>
      <c r="G160" t="s">
        <v>56</v>
      </c>
      <c r="H160" t="s">
        <v>80</v>
      </c>
      <c r="I160" t="s">
        <v>58</v>
      </c>
      <c r="J160" t="s">
        <v>66</v>
      </c>
      <c r="K160" t="s">
        <v>105</v>
      </c>
      <c r="L160" t="s">
        <v>125</v>
      </c>
      <c r="M160" t="s">
        <v>126</v>
      </c>
      <c r="N160" s="3">
        <v>45912</v>
      </c>
      <c r="O160">
        <v>-801.57</v>
      </c>
      <c r="P160" t="s">
        <v>56</v>
      </c>
      <c r="Q160" t="s">
        <v>80</v>
      </c>
      <c r="R160" t="s">
        <v>58</v>
      </c>
      <c r="S160" t="s">
        <v>66</v>
      </c>
      <c r="T160" t="s">
        <v>105</v>
      </c>
      <c r="U160" t="s">
        <v>92</v>
      </c>
      <c r="V160" t="b">
        <v>1</v>
      </c>
      <c r="W160">
        <v>0</v>
      </c>
      <c r="X160">
        <v>0</v>
      </c>
      <c r="Y160" t="s">
        <v>14</v>
      </c>
    </row>
    <row r="161" spans="1:25">
      <c r="A161" t="s">
        <v>267</v>
      </c>
      <c r="B161" t="s">
        <v>267</v>
      </c>
      <c r="C161" t="s">
        <v>119</v>
      </c>
      <c r="D161" t="s">
        <v>120</v>
      </c>
      <c r="E161" s="3">
        <v>45902</v>
      </c>
      <c r="F161">
        <v>745.14</v>
      </c>
      <c r="G161" t="s">
        <v>56</v>
      </c>
      <c r="H161" t="s">
        <v>65</v>
      </c>
      <c r="I161" t="s">
        <v>58</v>
      </c>
      <c r="J161" t="s">
        <v>99</v>
      </c>
      <c r="K161" t="s">
        <v>138</v>
      </c>
      <c r="L161" t="s">
        <v>121</v>
      </c>
      <c r="M161" t="s">
        <v>122</v>
      </c>
      <c r="N161" s="3">
        <v>45902</v>
      </c>
      <c r="O161">
        <v>745.14</v>
      </c>
      <c r="P161" t="s">
        <v>56</v>
      </c>
      <c r="Q161" t="s">
        <v>65</v>
      </c>
      <c r="R161" t="s">
        <v>58</v>
      </c>
      <c r="S161" t="s">
        <v>99</v>
      </c>
      <c r="T161" t="s">
        <v>138</v>
      </c>
      <c r="U161" t="s">
        <v>119</v>
      </c>
      <c r="V161" t="b">
        <v>1</v>
      </c>
      <c r="W161">
        <v>0</v>
      </c>
      <c r="X161">
        <v>0</v>
      </c>
      <c r="Y161" t="s">
        <v>14</v>
      </c>
    </row>
    <row r="162" spans="1:25">
      <c r="A162" t="s">
        <v>268</v>
      </c>
      <c r="B162" t="s">
        <v>268</v>
      </c>
      <c r="C162" t="s">
        <v>150</v>
      </c>
      <c r="D162" t="s">
        <v>151</v>
      </c>
      <c r="E162" s="3">
        <v>45859</v>
      </c>
      <c r="F162">
        <v>-267.67</v>
      </c>
      <c r="G162" t="s">
        <v>56</v>
      </c>
      <c r="H162" t="s">
        <v>80</v>
      </c>
      <c r="I162" t="s">
        <v>58</v>
      </c>
      <c r="J162" t="s">
        <v>85</v>
      </c>
      <c r="K162" t="s">
        <v>105</v>
      </c>
      <c r="L162" t="s">
        <v>152</v>
      </c>
      <c r="M162" t="s">
        <v>153</v>
      </c>
      <c r="N162" s="3">
        <v>45859</v>
      </c>
      <c r="O162">
        <v>-267.67</v>
      </c>
      <c r="P162" t="s">
        <v>56</v>
      </c>
      <c r="Q162" t="s">
        <v>80</v>
      </c>
      <c r="R162" t="s">
        <v>58</v>
      </c>
      <c r="S162" t="s">
        <v>85</v>
      </c>
      <c r="T162" t="s">
        <v>105</v>
      </c>
      <c r="U162" t="s">
        <v>150</v>
      </c>
      <c r="V162" t="b">
        <v>1</v>
      </c>
      <c r="W162">
        <v>0</v>
      </c>
      <c r="X162">
        <v>0</v>
      </c>
      <c r="Y162" t="s">
        <v>14</v>
      </c>
    </row>
    <row r="163" spans="1:25">
      <c r="A163" t="s">
        <v>269</v>
      </c>
      <c r="B163" t="s">
        <v>269</v>
      </c>
      <c r="C163" t="s">
        <v>87</v>
      </c>
      <c r="D163" t="s">
        <v>88</v>
      </c>
      <c r="E163" s="3">
        <v>45909</v>
      </c>
      <c r="F163">
        <v>-602.95000000000005</v>
      </c>
      <c r="G163" t="s">
        <v>56</v>
      </c>
      <c r="H163" t="s">
        <v>80</v>
      </c>
      <c r="I163" t="s">
        <v>77</v>
      </c>
      <c r="J163" t="s">
        <v>109</v>
      </c>
      <c r="K163" t="s">
        <v>138</v>
      </c>
      <c r="L163" t="s">
        <v>89</v>
      </c>
      <c r="M163" t="s">
        <v>90</v>
      </c>
      <c r="N163" s="3">
        <v>45908</v>
      </c>
      <c r="O163">
        <v>-584.4</v>
      </c>
      <c r="P163" t="s">
        <v>56</v>
      </c>
      <c r="Q163" t="s">
        <v>80</v>
      </c>
      <c r="R163" t="s">
        <v>77</v>
      </c>
      <c r="S163" t="s">
        <v>109</v>
      </c>
      <c r="T163" t="s">
        <v>138</v>
      </c>
      <c r="U163" t="s">
        <v>87</v>
      </c>
      <c r="V163" t="b">
        <v>1</v>
      </c>
      <c r="W163">
        <v>-18.55</v>
      </c>
      <c r="X163">
        <v>1</v>
      </c>
      <c r="Y163" t="s">
        <v>17</v>
      </c>
    </row>
    <row r="164" spans="1:25">
      <c r="A164" t="s">
        <v>270</v>
      </c>
      <c r="B164" t="s">
        <v>270</v>
      </c>
      <c r="C164" t="s">
        <v>150</v>
      </c>
      <c r="D164" t="s">
        <v>151</v>
      </c>
      <c r="E164" s="3">
        <v>45896</v>
      </c>
      <c r="F164">
        <v>-965.01</v>
      </c>
      <c r="G164" t="s">
        <v>56</v>
      </c>
      <c r="H164" t="s">
        <v>65</v>
      </c>
      <c r="I164" t="s">
        <v>58</v>
      </c>
      <c r="K164" t="s">
        <v>67</v>
      </c>
      <c r="L164" t="s">
        <v>152</v>
      </c>
      <c r="M164" t="s">
        <v>153</v>
      </c>
      <c r="N164" s="3">
        <v>45894</v>
      </c>
      <c r="O164">
        <v>-949.08</v>
      </c>
      <c r="P164" t="s">
        <v>56</v>
      </c>
      <c r="Q164" t="s">
        <v>65</v>
      </c>
      <c r="R164" t="s">
        <v>58</v>
      </c>
      <c r="T164" t="s">
        <v>67</v>
      </c>
      <c r="U164" t="s">
        <v>150</v>
      </c>
      <c r="V164" t="b">
        <v>1</v>
      </c>
      <c r="W164">
        <v>-15.93</v>
      </c>
      <c r="X164">
        <v>2</v>
      </c>
      <c r="Y164" t="s">
        <v>17</v>
      </c>
    </row>
    <row r="165" spans="1:25">
      <c r="A165" t="s">
        <v>271</v>
      </c>
      <c r="B165" t="s">
        <v>271</v>
      </c>
      <c r="C165" t="s">
        <v>92</v>
      </c>
      <c r="D165" t="s">
        <v>93</v>
      </c>
      <c r="E165" s="3">
        <v>45887</v>
      </c>
      <c r="F165">
        <v>-125.68</v>
      </c>
      <c r="G165" t="s">
        <v>56</v>
      </c>
      <c r="H165" t="s">
        <v>57</v>
      </c>
      <c r="I165" t="s">
        <v>77</v>
      </c>
      <c r="J165" t="s">
        <v>109</v>
      </c>
      <c r="K165" t="s">
        <v>59</v>
      </c>
      <c r="L165" t="s">
        <v>125</v>
      </c>
      <c r="M165" t="s">
        <v>126</v>
      </c>
      <c r="N165" s="3">
        <v>45887</v>
      </c>
      <c r="O165">
        <v>-125.68</v>
      </c>
      <c r="P165" t="s">
        <v>56</v>
      </c>
      <c r="Q165" t="s">
        <v>57</v>
      </c>
      <c r="R165" t="s">
        <v>77</v>
      </c>
      <c r="S165" t="s">
        <v>109</v>
      </c>
      <c r="T165" t="s">
        <v>59</v>
      </c>
      <c r="U165" t="s">
        <v>92</v>
      </c>
      <c r="V165" t="b">
        <v>1</v>
      </c>
      <c r="W165">
        <v>0</v>
      </c>
      <c r="X165">
        <v>0</v>
      </c>
      <c r="Y165" t="s">
        <v>14</v>
      </c>
    </row>
    <row r="166" spans="1:25">
      <c r="A166" t="s">
        <v>272</v>
      </c>
      <c r="B166" t="s">
        <v>272</v>
      </c>
      <c r="C166" t="s">
        <v>150</v>
      </c>
      <c r="D166" t="s">
        <v>151</v>
      </c>
      <c r="E166" s="3">
        <v>45897</v>
      </c>
      <c r="F166">
        <v>619.08000000000004</v>
      </c>
      <c r="G166" t="s">
        <v>56</v>
      </c>
      <c r="H166" t="s">
        <v>65</v>
      </c>
      <c r="I166" t="s">
        <v>77</v>
      </c>
      <c r="J166" t="s">
        <v>109</v>
      </c>
      <c r="K166" t="s">
        <v>138</v>
      </c>
      <c r="L166" t="s">
        <v>152</v>
      </c>
      <c r="M166" t="s">
        <v>153</v>
      </c>
      <c r="N166" s="3">
        <v>45897</v>
      </c>
      <c r="O166">
        <v>619.08000000000004</v>
      </c>
      <c r="P166" t="s">
        <v>56</v>
      </c>
      <c r="Q166" t="s">
        <v>65</v>
      </c>
      <c r="R166" t="s">
        <v>77</v>
      </c>
      <c r="S166" t="s">
        <v>109</v>
      </c>
      <c r="T166" t="s">
        <v>138</v>
      </c>
      <c r="U166" t="s">
        <v>150</v>
      </c>
      <c r="V166" t="b">
        <v>1</v>
      </c>
      <c r="W166">
        <v>0</v>
      </c>
      <c r="X166">
        <v>0</v>
      </c>
      <c r="Y166" t="s">
        <v>14</v>
      </c>
    </row>
    <row r="167" spans="1:25">
      <c r="A167" t="s">
        <v>273</v>
      </c>
      <c r="B167" t="s">
        <v>273</v>
      </c>
      <c r="C167" t="s">
        <v>71</v>
      </c>
      <c r="D167" t="s">
        <v>72</v>
      </c>
      <c r="E167" s="3">
        <v>45875</v>
      </c>
      <c r="F167">
        <v>778.07</v>
      </c>
      <c r="G167" t="s">
        <v>56</v>
      </c>
      <c r="H167" t="s">
        <v>73</v>
      </c>
      <c r="I167" t="s">
        <v>58</v>
      </c>
      <c r="J167" t="s">
        <v>99</v>
      </c>
      <c r="K167" t="s">
        <v>105</v>
      </c>
      <c r="L167" t="s">
        <v>74</v>
      </c>
      <c r="M167" t="s">
        <v>75</v>
      </c>
      <c r="N167" s="3">
        <v>45875</v>
      </c>
      <c r="O167">
        <v>778.07</v>
      </c>
      <c r="P167" t="s">
        <v>56</v>
      </c>
      <c r="Q167" t="s">
        <v>73</v>
      </c>
      <c r="R167" t="s">
        <v>58</v>
      </c>
      <c r="S167" t="s">
        <v>99</v>
      </c>
      <c r="T167" t="s">
        <v>105</v>
      </c>
      <c r="U167" t="s">
        <v>71</v>
      </c>
      <c r="V167" t="b">
        <v>1</v>
      </c>
      <c r="W167">
        <v>0</v>
      </c>
      <c r="X167">
        <v>0</v>
      </c>
      <c r="Y167" t="s">
        <v>14</v>
      </c>
    </row>
    <row r="168" spans="1:25">
      <c r="A168" t="s">
        <v>274</v>
      </c>
      <c r="B168" t="s">
        <v>274</v>
      </c>
      <c r="C168" t="s">
        <v>119</v>
      </c>
      <c r="D168" t="s">
        <v>120</v>
      </c>
      <c r="E168" s="3">
        <v>45913</v>
      </c>
      <c r="F168">
        <v>-325.85000000000002</v>
      </c>
      <c r="G168" t="s">
        <v>56</v>
      </c>
      <c r="H168" t="s">
        <v>73</v>
      </c>
      <c r="I168" t="s">
        <v>58</v>
      </c>
      <c r="L168" t="s">
        <v>121</v>
      </c>
      <c r="M168" t="s">
        <v>122</v>
      </c>
      <c r="N168" s="3">
        <v>45914</v>
      </c>
      <c r="O168">
        <v>-325.97000000000003</v>
      </c>
      <c r="P168" t="s">
        <v>56</v>
      </c>
      <c r="Q168" t="s">
        <v>73</v>
      </c>
      <c r="R168" t="s">
        <v>58</v>
      </c>
      <c r="U168" t="s">
        <v>119</v>
      </c>
      <c r="V168" t="b">
        <v>1</v>
      </c>
      <c r="W168">
        <v>0.12</v>
      </c>
      <c r="X168">
        <v>-1</v>
      </c>
      <c r="Y168" t="s">
        <v>15</v>
      </c>
    </row>
    <row r="169" spans="1:25">
      <c r="A169" t="s">
        <v>275</v>
      </c>
      <c r="B169" t="s">
        <v>275</v>
      </c>
      <c r="C169" t="s">
        <v>54</v>
      </c>
      <c r="D169" t="s">
        <v>55</v>
      </c>
      <c r="E169" s="3">
        <v>45898</v>
      </c>
      <c r="F169">
        <v>-645.74</v>
      </c>
      <c r="G169" t="s">
        <v>56</v>
      </c>
      <c r="H169" t="s">
        <v>73</v>
      </c>
      <c r="I169" t="s">
        <v>97</v>
      </c>
      <c r="J169" t="s">
        <v>66</v>
      </c>
      <c r="K169" t="s">
        <v>67</v>
      </c>
      <c r="L169" t="s">
        <v>60</v>
      </c>
      <c r="M169" t="s">
        <v>61</v>
      </c>
      <c r="N169" s="3">
        <v>45898</v>
      </c>
      <c r="O169">
        <v>-645.74</v>
      </c>
      <c r="P169" t="s">
        <v>56</v>
      </c>
      <c r="Q169" t="s">
        <v>73</v>
      </c>
      <c r="R169" t="s">
        <v>97</v>
      </c>
      <c r="S169" t="s">
        <v>66</v>
      </c>
      <c r="T169" t="s">
        <v>67</v>
      </c>
      <c r="U169" t="s">
        <v>54</v>
      </c>
      <c r="V169" t="b">
        <v>1</v>
      </c>
      <c r="W169">
        <v>0</v>
      </c>
      <c r="X169">
        <v>0</v>
      </c>
      <c r="Y169" t="s">
        <v>14</v>
      </c>
    </row>
    <row r="170" spans="1:25">
      <c r="A170" t="s">
        <v>276</v>
      </c>
      <c r="B170" t="s">
        <v>276</v>
      </c>
      <c r="C170" t="s">
        <v>150</v>
      </c>
      <c r="D170" t="s">
        <v>151</v>
      </c>
      <c r="E170" s="3">
        <v>45884</v>
      </c>
      <c r="F170">
        <v>-232.28</v>
      </c>
      <c r="G170" t="s">
        <v>56</v>
      </c>
      <c r="H170" t="s">
        <v>57</v>
      </c>
      <c r="I170" t="s">
        <v>77</v>
      </c>
      <c r="J170" t="s">
        <v>85</v>
      </c>
      <c r="K170" t="s">
        <v>138</v>
      </c>
      <c r="L170" t="s">
        <v>152</v>
      </c>
      <c r="M170" t="s">
        <v>153</v>
      </c>
      <c r="N170" s="3">
        <v>45884</v>
      </c>
      <c r="O170">
        <v>-232.28</v>
      </c>
      <c r="P170" t="s">
        <v>56</v>
      </c>
      <c r="Q170" t="s">
        <v>57</v>
      </c>
      <c r="R170" t="s">
        <v>77</v>
      </c>
      <c r="S170" t="s">
        <v>85</v>
      </c>
      <c r="T170" t="s">
        <v>138</v>
      </c>
      <c r="U170" t="s">
        <v>150</v>
      </c>
      <c r="V170" t="b">
        <v>1</v>
      </c>
      <c r="W170">
        <v>0</v>
      </c>
      <c r="X170">
        <v>0</v>
      </c>
      <c r="Y170" t="s">
        <v>14</v>
      </c>
    </row>
    <row r="171" spans="1:25">
      <c r="A171" t="s">
        <v>277</v>
      </c>
      <c r="B171" t="s">
        <v>277</v>
      </c>
      <c r="C171" t="s">
        <v>92</v>
      </c>
      <c r="D171" t="s">
        <v>93</v>
      </c>
      <c r="E171" s="3">
        <v>45906</v>
      </c>
      <c r="F171">
        <v>-296.95</v>
      </c>
      <c r="G171" t="s">
        <v>56</v>
      </c>
      <c r="H171" t="s">
        <v>57</v>
      </c>
      <c r="I171" t="s">
        <v>58</v>
      </c>
      <c r="J171" t="s">
        <v>85</v>
      </c>
      <c r="K171" t="s">
        <v>78</v>
      </c>
      <c r="L171" t="s">
        <v>94</v>
      </c>
      <c r="M171" t="s">
        <v>95</v>
      </c>
      <c r="N171" s="3">
        <v>45906</v>
      </c>
      <c r="O171">
        <v>-296.95</v>
      </c>
      <c r="P171" t="s">
        <v>56</v>
      </c>
      <c r="Q171" t="s">
        <v>57</v>
      </c>
      <c r="R171" t="s">
        <v>58</v>
      </c>
      <c r="S171" t="s">
        <v>85</v>
      </c>
      <c r="T171" t="s">
        <v>78</v>
      </c>
      <c r="U171" t="s">
        <v>92</v>
      </c>
      <c r="V171" t="b">
        <v>1</v>
      </c>
      <c r="W171">
        <v>0</v>
      </c>
      <c r="X171">
        <v>0</v>
      </c>
      <c r="Y171" t="s">
        <v>14</v>
      </c>
    </row>
    <row r="172" spans="1:25">
      <c r="A172" t="s">
        <v>278</v>
      </c>
      <c r="B172" t="s">
        <v>278</v>
      </c>
      <c r="C172" t="s">
        <v>71</v>
      </c>
      <c r="D172" t="s">
        <v>72</v>
      </c>
      <c r="E172" s="3">
        <v>45862</v>
      </c>
      <c r="F172">
        <v>295.73</v>
      </c>
      <c r="G172" t="s">
        <v>56</v>
      </c>
      <c r="H172" t="s">
        <v>80</v>
      </c>
      <c r="I172" t="s">
        <v>97</v>
      </c>
      <c r="J172" t="s">
        <v>81</v>
      </c>
      <c r="K172" t="s">
        <v>138</v>
      </c>
      <c r="L172" t="s">
        <v>74</v>
      </c>
      <c r="M172" t="s">
        <v>75</v>
      </c>
      <c r="N172" s="3">
        <v>45862</v>
      </c>
      <c r="O172">
        <v>295.73</v>
      </c>
      <c r="P172" t="s">
        <v>56</v>
      </c>
      <c r="Q172" t="s">
        <v>80</v>
      </c>
      <c r="R172" t="s">
        <v>97</v>
      </c>
      <c r="S172" t="s">
        <v>81</v>
      </c>
      <c r="T172" t="s">
        <v>138</v>
      </c>
      <c r="U172" t="s">
        <v>71</v>
      </c>
      <c r="V172" t="b">
        <v>1</v>
      </c>
      <c r="W172">
        <v>0</v>
      </c>
      <c r="X172">
        <v>0</v>
      </c>
      <c r="Y172" t="s">
        <v>14</v>
      </c>
    </row>
    <row r="173" spans="1:25">
      <c r="A173" t="s">
        <v>279</v>
      </c>
      <c r="B173" t="s">
        <v>279</v>
      </c>
      <c r="C173" t="s">
        <v>87</v>
      </c>
      <c r="D173" t="s">
        <v>88</v>
      </c>
      <c r="E173" s="3">
        <v>45867</v>
      </c>
      <c r="F173">
        <v>548.08000000000004</v>
      </c>
      <c r="G173" t="s">
        <v>56</v>
      </c>
      <c r="H173" t="s">
        <v>57</v>
      </c>
      <c r="I173" t="s">
        <v>58</v>
      </c>
      <c r="J173" t="s">
        <v>117</v>
      </c>
      <c r="K173" t="s">
        <v>67</v>
      </c>
      <c r="L173" t="s">
        <v>100</v>
      </c>
      <c r="M173" t="s">
        <v>101</v>
      </c>
      <c r="N173" s="3">
        <v>45867</v>
      </c>
      <c r="O173">
        <v>548.08000000000004</v>
      </c>
      <c r="P173" t="s">
        <v>56</v>
      </c>
      <c r="Q173" t="s">
        <v>57</v>
      </c>
      <c r="R173" t="s">
        <v>58</v>
      </c>
      <c r="S173" t="s">
        <v>117</v>
      </c>
      <c r="T173" t="s">
        <v>67</v>
      </c>
      <c r="U173" t="s">
        <v>87</v>
      </c>
      <c r="V173" t="b">
        <v>1</v>
      </c>
      <c r="W173">
        <v>0</v>
      </c>
      <c r="X173">
        <v>0</v>
      </c>
      <c r="Y173" t="s">
        <v>14</v>
      </c>
    </row>
    <row r="174" spans="1:25">
      <c r="A174" t="s">
        <v>280</v>
      </c>
      <c r="B174" t="s">
        <v>280</v>
      </c>
      <c r="C174" t="s">
        <v>87</v>
      </c>
      <c r="D174" t="s">
        <v>88</v>
      </c>
      <c r="E174" s="3">
        <v>45876</v>
      </c>
      <c r="F174">
        <v>-477.25</v>
      </c>
      <c r="G174" t="s">
        <v>56</v>
      </c>
      <c r="H174" t="s">
        <v>57</v>
      </c>
      <c r="I174" t="s">
        <v>77</v>
      </c>
      <c r="J174" t="s">
        <v>99</v>
      </c>
      <c r="K174" t="s">
        <v>107</v>
      </c>
      <c r="L174" t="s">
        <v>89</v>
      </c>
      <c r="M174" t="s">
        <v>90</v>
      </c>
      <c r="N174" s="3">
        <v>45876</v>
      </c>
      <c r="O174">
        <v>-477.25</v>
      </c>
      <c r="P174" t="s">
        <v>56</v>
      </c>
      <c r="Q174" t="s">
        <v>57</v>
      </c>
      <c r="R174" t="s">
        <v>77</v>
      </c>
      <c r="S174" t="s">
        <v>99</v>
      </c>
      <c r="T174" t="s">
        <v>107</v>
      </c>
      <c r="U174" t="s">
        <v>87</v>
      </c>
      <c r="V174" t="b">
        <v>1</v>
      </c>
      <c r="W174">
        <v>0</v>
      </c>
      <c r="X174">
        <v>0</v>
      </c>
      <c r="Y174" t="s">
        <v>14</v>
      </c>
    </row>
    <row r="175" spans="1:25">
      <c r="A175" t="s">
        <v>281</v>
      </c>
      <c r="B175" t="s">
        <v>281</v>
      </c>
      <c r="C175" t="s">
        <v>119</v>
      </c>
      <c r="D175" t="s">
        <v>120</v>
      </c>
      <c r="E175" s="3">
        <v>45916</v>
      </c>
      <c r="F175">
        <v>738.53</v>
      </c>
      <c r="G175" t="s">
        <v>56</v>
      </c>
      <c r="H175" t="s">
        <v>57</v>
      </c>
      <c r="I175" t="s">
        <v>97</v>
      </c>
      <c r="J175" t="s">
        <v>109</v>
      </c>
      <c r="L175" t="s">
        <v>121</v>
      </c>
      <c r="M175" t="s">
        <v>122</v>
      </c>
      <c r="N175" s="3">
        <v>45917</v>
      </c>
      <c r="O175">
        <v>737.16</v>
      </c>
      <c r="P175" t="s">
        <v>56</v>
      </c>
      <c r="Q175" t="s">
        <v>57</v>
      </c>
      <c r="R175" t="s">
        <v>97</v>
      </c>
      <c r="S175" t="s">
        <v>109</v>
      </c>
      <c r="U175" t="s">
        <v>119</v>
      </c>
      <c r="V175" t="b">
        <v>1</v>
      </c>
      <c r="W175">
        <v>1.37</v>
      </c>
      <c r="X175">
        <v>-1</v>
      </c>
      <c r="Y175" t="s">
        <v>17</v>
      </c>
    </row>
    <row r="176" spans="1:25">
      <c r="A176" t="s">
        <v>282</v>
      </c>
      <c r="B176" t="s">
        <v>282</v>
      </c>
      <c r="C176" t="s">
        <v>87</v>
      </c>
      <c r="D176" t="s">
        <v>88</v>
      </c>
      <c r="E176" s="3">
        <v>45896</v>
      </c>
      <c r="F176">
        <v>264.93</v>
      </c>
      <c r="G176" t="s">
        <v>56</v>
      </c>
      <c r="H176" t="s">
        <v>65</v>
      </c>
      <c r="I176" t="s">
        <v>77</v>
      </c>
      <c r="J176" t="s">
        <v>81</v>
      </c>
      <c r="K176" t="s">
        <v>59</v>
      </c>
      <c r="L176" t="s">
        <v>89</v>
      </c>
      <c r="M176" t="s">
        <v>90</v>
      </c>
      <c r="N176" s="3">
        <v>45896</v>
      </c>
      <c r="O176">
        <v>264.93</v>
      </c>
      <c r="P176" t="s">
        <v>56</v>
      </c>
      <c r="Q176" t="s">
        <v>65</v>
      </c>
      <c r="R176" t="s">
        <v>77</v>
      </c>
      <c r="S176" t="s">
        <v>81</v>
      </c>
      <c r="T176" t="s">
        <v>59</v>
      </c>
      <c r="U176" t="s">
        <v>87</v>
      </c>
      <c r="V176" t="b">
        <v>1</v>
      </c>
      <c r="W176">
        <v>0</v>
      </c>
      <c r="X176">
        <v>0</v>
      </c>
      <c r="Y176" t="s">
        <v>14</v>
      </c>
    </row>
    <row r="177" spans="1:25">
      <c r="A177" t="s">
        <v>283</v>
      </c>
      <c r="B177" t="s">
        <v>283</v>
      </c>
      <c r="C177" t="s">
        <v>87</v>
      </c>
      <c r="D177" t="s">
        <v>88</v>
      </c>
      <c r="E177" s="3">
        <v>45859</v>
      </c>
      <c r="F177">
        <v>-467.18</v>
      </c>
      <c r="G177" t="s">
        <v>56</v>
      </c>
      <c r="H177" t="s">
        <v>65</v>
      </c>
      <c r="I177" t="s">
        <v>77</v>
      </c>
      <c r="J177" t="s">
        <v>99</v>
      </c>
      <c r="K177" t="s">
        <v>107</v>
      </c>
      <c r="L177" t="s">
        <v>89</v>
      </c>
      <c r="M177" t="s">
        <v>90</v>
      </c>
      <c r="N177" s="3">
        <v>45859</v>
      </c>
      <c r="O177">
        <v>-467.18</v>
      </c>
      <c r="P177" t="s">
        <v>56</v>
      </c>
      <c r="Q177" t="s">
        <v>65</v>
      </c>
      <c r="R177" t="s">
        <v>77</v>
      </c>
      <c r="S177" t="s">
        <v>99</v>
      </c>
      <c r="T177" t="s">
        <v>107</v>
      </c>
      <c r="U177" t="s">
        <v>87</v>
      </c>
      <c r="V177" t="b">
        <v>1</v>
      </c>
      <c r="W177">
        <v>0</v>
      </c>
      <c r="X177">
        <v>0</v>
      </c>
      <c r="Y177" t="s">
        <v>14</v>
      </c>
    </row>
    <row r="178" spans="1:25">
      <c r="A178" t="s">
        <v>284</v>
      </c>
      <c r="B178" t="s">
        <v>284</v>
      </c>
      <c r="C178" t="s">
        <v>150</v>
      </c>
      <c r="D178" t="s">
        <v>151</v>
      </c>
      <c r="E178" s="3">
        <v>45872</v>
      </c>
      <c r="F178">
        <v>740.27</v>
      </c>
      <c r="G178" t="s">
        <v>56</v>
      </c>
      <c r="H178" t="s">
        <v>65</v>
      </c>
      <c r="I178" t="s">
        <v>58</v>
      </c>
      <c r="J178" t="s">
        <v>85</v>
      </c>
      <c r="L178" t="s">
        <v>152</v>
      </c>
      <c r="M178" t="s">
        <v>153</v>
      </c>
      <c r="N178" s="3">
        <v>45871</v>
      </c>
      <c r="O178">
        <v>747.94</v>
      </c>
      <c r="P178" t="s">
        <v>56</v>
      </c>
      <c r="Q178" t="s">
        <v>65</v>
      </c>
      <c r="R178" t="s">
        <v>58</v>
      </c>
      <c r="S178" t="s">
        <v>85</v>
      </c>
      <c r="U178" t="s">
        <v>150</v>
      </c>
      <c r="V178" t="b">
        <v>1</v>
      </c>
      <c r="W178">
        <v>-7.67</v>
      </c>
      <c r="X178">
        <v>1</v>
      </c>
      <c r="Y178" t="s">
        <v>17</v>
      </c>
    </row>
    <row r="179" spans="1:25">
      <c r="A179" t="s">
        <v>285</v>
      </c>
      <c r="B179" t="s">
        <v>285</v>
      </c>
      <c r="C179" t="s">
        <v>63</v>
      </c>
      <c r="D179" t="s">
        <v>64</v>
      </c>
      <c r="E179" s="3">
        <v>45899</v>
      </c>
      <c r="F179">
        <v>640.19000000000005</v>
      </c>
      <c r="G179" t="s">
        <v>56</v>
      </c>
      <c r="H179" t="s">
        <v>57</v>
      </c>
      <c r="I179" t="s">
        <v>77</v>
      </c>
      <c r="J179" t="s">
        <v>85</v>
      </c>
      <c r="K179" t="s">
        <v>67</v>
      </c>
      <c r="L179" t="s">
        <v>82</v>
      </c>
      <c r="M179" t="s">
        <v>83</v>
      </c>
      <c r="N179" s="3">
        <v>45899</v>
      </c>
      <c r="O179">
        <v>640.19000000000005</v>
      </c>
      <c r="P179" t="s">
        <v>56</v>
      </c>
      <c r="Q179" t="s">
        <v>57</v>
      </c>
      <c r="R179" t="s">
        <v>77</v>
      </c>
      <c r="S179" t="s">
        <v>85</v>
      </c>
      <c r="T179" t="s">
        <v>67</v>
      </c>
      <c r="U179" t="s">
        <v>63</v>
      </c>
      <c r="V179" t="b">
        <v>1</v>
      </c>
      <c r="W179">
        <v>0</v>
      </c>
      <c r="X179">
        <v>0</v>
      </c>
      <c r="Y179" t="s">
        <v>14</v>
      </c>
    </row>
    <row r="180" spans="1:25">
      <c r="A180" t="s">
        <v>286</v>
      </c>
      <c r="B180" t="s">
        <v>286</v>
      </c>
      <c r="C180" t="s">
        <v>92</v>
      </c>
      <c r="D180" t="s">
        <v>93</v>
      </c>
      <c r="E180" s="3">
        <v>45911</v>
      </c>
      <c r="F180">
        <v>168.84</v>
      </c>
      <c r="G180" t="s">
        <v>56</v>
      </c>
      <c r="H180" t="s">
        <v>80</v>
      </c>
      <c r="I180" t="s">
        <v>77</v>
      </c>
      <c r="J180" t="s">
        <v>99</v>
      </c>
      <c r="K180" t="s">
        <v>59</v>
      </c>
      <c r="L180" t="s">
        <v>125</v>
      </c>
      <c r="M180" t="s">
        <v>126</v>
      </c>
      <c r="N180" s="3">
        <v>45911</v>
      </c>
      <c r="O180">
        <v>168.84</v>
      </c>
      <c r="P180" t="s">
        <v>56</v>
      </c>
      <c r="Q180" t="s">
        <v>80</v>
      </c>
      <c r="R180" t="s">
        <v>77</v>
      </c>
      <c r="S180" t="s">
        <v>99</v>
      </c>
      <c r="T180" t="s">
        <v>59</v>
      </c>
      <c r="U180" t="s">
        <v>92</v>
      </c>
      <c r="V180" t="b">
        <v>1</v>
      </c>
      <c r="W180">
        <v>0</v>
      </c>
      <c r="X180">
        <v>0</v>
      </c>
      <c r="Y180" t="s">
        <v>14</v>
      </c>
    </row>
    <row r="181" spans="1:25">
      <c r="A181" t="s">
        <v>287</v>
      </c>
      <c r="B181" t="s">
        <v>287</v>
      </c>
      <c r="C181" t="s">
        <v>87</v>
      </c>
      <c r="D181" t="s">
        <v>88</v>
      </c>
      <c r="E181" s="3">
        <v>45884</v>
      </c>
      <c r="F181">
        <v>-666.3</v>
      </c>
      <c r="G181" t="s">
        <v>56</v>
      </c>
      <c r="H181" t="s">
        <v>80</v>
      </c>
      <c r="I181" t="s">
        <v>77</v>
      </c>
      <c r="J181" t="s">
        <v>85</v>
      </c>
      <c r="K181" t="s">
        <v>67</v>
      </c>
      <c r="L181" t="s">
        <v>89</v>
      </c>
      <c r="M181" t="s">
        <v>90</v>
      </c>
      <c r="N181" s="3">
        <v>45884</v>
      </c>
      <c r="O181">
        <v>-666.26</v>
      </c>
      <c r="P181" t="s">
        <v>56</v>
      </c>
      <c r="Q181" t="s">
        <v>80</v>
      </c>
      <c r="R181" t="s">
        <v>77</v>
      </c>
      <c r="S181" t="s">
        <v>85</v>
      </c>
      <c r="T181" t="s">
        <v>67</v>
      </c>
      <c r="U181" t="s">
        <v>87</v>
      </c>
      <c r="V181" t="b">
        <v>1</v>
      </c>
      <c r="W181">
        <v>-0.04</v>
      </c>
      <c r="X181">
        <v>0</v>
      </c>
      <c r="Y181" t="s">
        <v>15</v>
      </c>
    </row>
    <row r="182" spans="1:25">
      <c r="A182" t="s">
        <v>288</v>
      </c>
      <c r="B182" t="s">
        <v>288</v>
      </c>
      <c r="C182" t="s">
        <v>150</v>
      </c>
      <c r="D182" t="s">
        <v>151</v>
      </c>
      <c r="E182" s="3">
        <v>45858</v>
      </c>
      <c r="F182">
        <v>-380.4</v>
      </c>
      <c r="G182" t="s">
        <v>56</v>
      </c>
      <c r="H182" t="s">
        <v>73</v>
      </c>
      <c r="I182" t="s">
        <v>77</v>
      </c>
      <c r="J182" t="s">
        <v>81</v>
      </c>
      <c r="K182" t="s">
        <v>67</v>
      </c>
      <c r="L182" t="s">
        <v>152</v>
      </c>
      <c r="M182" t="s">
        <v>153</v>
      </c>
      <c r="N182" s="3">
        <v>45858</v>
      </c>
      <c r="O182">
        <v>-381.78</v>
      </c>
      <c r="P182" t="s">
        <v>56</v>
      </c>
      <c r="Q182" t="s">
        <v>73</v>
      </c>
      <c r="R182" t="s">
        <v>77</v>
      </c>
      <c r="S182" t="s">
        <v>81</v>
      </c>
      <c r="T182" t="s">
        <v>67</v>
      </c>
      <c r="U182" t="s">
        <v>150</v>
      </c>
      <c r="V182" t="b">
        <v>1</v>
      </c>
      <c r="W182">
        <v>1.38</v>
      </c>
      <c r="X182">
        <v>0</v>
      </c>
      <c r="Y182" t="s">
        <v>17</v>
      </c>
    </row>
    <row r="183" spans="1:25">
      <c r="A183" t="s">
        <v>289</v>
      </c>
      <c r="B183" t="s">
        <v>289</v>
      </c>
      <c r="C183" t="s">
        <v>119</v>
      </c>
      <c r="D183" t="s">
        <v>120</v>
      </c>
      <c r="E183" s="3">
        <v>45906</v>
      </c>
      <c r="F183">
        <v>596.35</v>
      </c>
      <c r="G183" t="s">
        <v>56</v>
      </c>
      <c r="H183" t="s">
        <v>65</v>
      </c>
      <c r="I183" t="s">
        <v>77</v>
      </c>
      <c r="J183" t="s">
        <v>117</v>
      </c>
      <c r="K183" t="s">
        <v>107</v>
      </c>
      <c r="L183" t="s">
        <v>121</v>
      </c>
      <c r="M183" t="s">
        <v>122</v>
      </c>
      <c r="N183" s="3">
        <v>45906</v>
      </c>
      <c r="O183">
        <v>596.35</v>
      </c>
      <c r="P183" t="s">
        <v>56</v>
      </c>
      <c r="Q183" t="s">
        <v>65</v>
      </c>
      <c r="R183" t="s">
        <v>77</v>
      </c>
      <c r="S183" t="s">
        <v>117</v>
      </c>
      <c r="T183" t="s">
        <v>107</v>
      </c>
      <c r="U183" t="s">
        <v>119</v>
      </c>
      <c r="V183" t="b">
        <v>1</v>
      </c>
      <c r="W183">
        <v>0</v>
      </c>
      <c r="X183">
        <v>0</v>
      </c>
      <c r="Y183" t="s">
        <v>14</v>
      </c>
    </row>
    <row r="184" spans="1:25">
      <c r="A184" t="s">
        <v>290</v>
      </c>
      <c r="B184" t="s">
        <v>290</v>
      </c>
      <c r="C184" t="s">
        <v>63</v>
      </c>
      <c r="D184" t="s">
        <v>64</v>
      </c>
      <c r="E184" s="3">
        <v>45865</v>
      </c>
      <c r="F184">
        <v>-575.16999999999996</v>
      </c>
      <c r="G184" t="s">
        <v>56</v>
      </c>
      <c r="H184" t="s">
        <v>80</v>
      </c>
      <c r="I184" t="s">
        <v>58</v>
      </c>
      <c r="K184" t="s">
        <v>67</v>
      </c>
      <c r="L184" t="s">
        <v>68</v>
      </c>
      <c r="M184" t="s">
        <v>69</v>
      </c>
      <c r="N184" s="3">
        <v>45867</v>
      </c>
      <c r="O184">
        <v>-575.13</v>
      </c>
      <c r="P184" t="s">
        <v>56</v>
      </c>
      <c r="Q184" t="s">
        <v>80</v>
      </c>
      <c r="R184" t="s">
        <v>58</v>
      </c>
      <c r="T184" t="s">
        <v>67</v>
      </c>
      <c r="U184" t="s">
        <v>63</v>
      </c>
      <c r="V184" t="b">
        <v>1</v>
      </c>
      <c r="W184">
        <v>-0.04</v>
      </c>
      <c r="X184">
        <v>-2</v>
      </c>
      <c r="Y184" t="s">
        <v>15</v>
      </c>
    </row>
    <row r="185" spans="1:25">
      <c r="A185" t="s">
        <v>291</v>
      </c>
      <c r="B185" t="s">
        <v>291</v>
      </c>
      <c r="C185" t="s">
        <v>92</v>
      </c>
      <c r="D185" t="s">
        <v>93</v>
      </c>
      <c r="E185" s="3">
        <v>45889</v>
      </c>
      <c r="F185">
        <v>804.83</v>
      </c>
      <c r="G185" t="s">
        <v>56</v>
      </c>
      <c r="H185" t="s">
        <v>57</v>
      </c>
      <c r="I185" t="s">
        <v>97</v>
      </c>
      <c r="J185" t="s">
        <v>66</v>
      </c>
      <c r="K185" t="s">
        <v>105</v>
      </c>
      <c r="L185" t="s">
        <v>125</v>
      </c>
      <c r="M185" t="s">
        <v>126</v>
      </c>
      <c r="N185" s="3">
        <v>45889</v>
      </c>
      <c r="O185">
        <v>804.71</v>
      </c>
      <c r="P185" t="s">
        <v>56</v>
      </c>
      <c r="Q185" t="s">
        <v>57</v>
      </c>
      <c r="R185" t="s">
        <v>97</v>
      </c>
      <c r="S185" t="s">
        <v>66</v>
      </c>
      <c r="T185" t="s">
        <v>105</v>
      </c>
      <c r="U185" t="s">
        <v>92</v>
      </c>
      <c r="V185" t="b">
        <v>1</v>
      </c>
      <c r="W185">
        <v>0.12</v>
      </c>
      <c r="X185">
        <v>0</v>
      </c>
      <c r="Y185" t="s">
        <v>15</v>
      </c>
    </row>
    <row r="186" spans="1:25">
      <c r="A186" t="s">
        <v>292</v>
      </c>
      <c r="B186" t="s">
        <v>292</v>
      </c>
      <c r="C186" t="s">
        <v>54</v>
      </c>
      <c r="D186" t="s">
        <v>55</v>
      </c>
      <c r="E186" s="3">
        <v>45906</v>
      </c>
      <c r="F186">
        <v>529.14</v>
      </c>
      <c r="G186" t="s">
        <v>56</v>
      </c>
      <c r="H186" t="s">
        <v>57</v>
      </c>
      <c r="I186" t="s">
        <v>58</v>
      </c>
      <c r="K186" t="s">
        <v>59</v>
      </c>
      <c r="L186" t="s">
        <v>60</v>
      </c>
      <c r="M186" t="s">
        <v>61</v>
      </c>
      <c r="N186" s="3">
        <v>45906</v>
      </c>
      <c r="O186">
        <v>529.14</v>
      </c>
      <c r="P186" t="s">
        <v>56</v>
      </c>
      <c r="Q186" t="s">
        <v>57</v>
      </c>
      <c r="R186" t="s">
        <v>58</v>
      </c>
      <c r="T186" t="s">
        <v>59</v>
      </c>
      <c r="U186" t="s">
        <v>54</v>
      </c>
      <c r="V186" t="b">
        <v>1</v>
      </c>
      <c r="W186">
        <v>0</v>
      </c>
      <c r="X186">
        <v>0</v>
      </c>
      <c r="Y186" t="s">
        <v>14</v>
      </c>
    </row>
    <row r="187" spans="1:25">
      <c r="A187" t="s">
        <v>293</v>
      </c>
      <c r="B187" t="s">
        <v>293</v>
      </c>
      <c r="C187" t="s">
        <v>71</v>
      </c>
      <c r="D187" t="s">
        <v>72</v>
      </c>
      <c r="E187" s="3">
        <v>45898</v>
      </c>
      <c r="F187">
        <v>36.549999999999997</v>
      </c>
      <c r="G187" t="s">
        <v>56</v>
      </c>
      <c r="H187" t="s">
        <v>65</v>
      </c>
      <c r="I187" t="s">
        <v>58</v>
      </c>
      <c r="K187" t="s">
        <v>107</v>
      </c>
      <c r="L187" t="s">
        <v>74</v>
      </c>
      <c r="M187" t="s">
        <v>75</v>
      </c>
      <c r="N187" s="3">
        <v>45898</v>
      </c>
      <c r="O187">
        <v>36.549999999999997</v>
      </c>
      <c r="P187" t="s">
        <v>56</v>
      </c>
      <c r="Q187" t="s">
        <v>65</v>
      </c>
      <c r="R187" t="s">
        <v>58</v>
      </c>
      <c r="T187" t="s">
        <v>107</v>
      </c>
      <c r="U187" t="s">
        <v>71</v>
      </c>
      <c r="V187" t="b">
        <v>1</v>
      </c>
      <c r="W187">
        <v>0</v>
      </c>
      <c r="X187">
        <v>0</v>
      </c>
      <c r="Y187" t="s">
        <v>14</v>
      </c>
    </row>
    <row r="188" spans="1:25">
      <c r="A188" t="s">
        <v>294</v>
      </c>
      <c r="B188" t="s">
        <v>294</v>
      </c>
      <c r="C188" t="s">
        <v>119</v>
      </c>
      <c r="D188" t="s">
        <v>120</v>
      </c>
      <c r="E188" s="3">
        <v>45903</v>
      </c>
      <c r="F188">
        <v>157.54</v>
      </c>
      <c r="G188" t="s">
        <v>56</v>
      </c>
      <c r="H188" t="s">
        <v>57</v>
      </c>
      <c r="I188" t="s">
        <v>97</v>
      </c>
      <c r="J188" t="s">
        <v>81</v>
      </c>
      <c r="K188" t="s">
        <v>67</v>
      </c>
      <c r="L188" t="s">
        <v>121</v>
      </c>
      <c r="M188" t="s">
        <v>122</v>
      </c>
      <c r="N188" s="3">
        <v>45903</v>
      </c>
      <c r="O188">
        <v>157.07</v>
      </c>
      <c r="P188" t="s">
        <v>56</v>
      </c>
      <c r="Q188" t="s">
        <v>57</v>
      </c>
      <c r="R188" t="s">
        <v>97</v>
      </c>
      <c r="S188" t="s">
        <v>81</v>
      </c>
      <c r="T188" t="s">
        <v>67</v>
      </c>
      <c r="U188" t="s">
        <v>119</v>
      </c>
      <c r="V188" t="b">
        <v>1</v>
      </c>
      <c r="W188">
        <v>0.47</v>
      </c>
      <c r="X188">
        <v>0</v>
      </c>
      <c r="Y188" t="s">
        <v>15</v>
      </c>
    </row>
    <row r="189" spans="1:25">
      <c r="A189" t="s">
        <v>295</v>
      </c>
      <c r="B189" t="s">
        <v>295</v>
      </c>
      <c r="C189" t="s">
        <v>87</v>
      </c>
      <c r="D189" t="s">
        <v>88</v>
      </c>
      <c r="E189" s="3">
        <v>45908</v>
      </c>
      <c r="F189">
        <v>682.79</v>
      </c>
      <c r="G189" t="s">
        <v>56</v>
      </c>
      <c r="H189" t="s">
        <v>65</v>
      </c>
      <c r="I189" t="s">
        <v>97</v>
      </c>
      <c r="J189" t="s">
        <v>66</v>
      </c>
      <c r="L189" t="s">
        <v>100</v>
      </c>
      <c r="M189" t="s">
        <v>101</v>
      </c>
      <c r="N189" s="3">
        <v>45908</v>
      </c>
      <c r="O189">
        <v>682.79</v>
      </c>
      <c r="P189" t="s">
        <v>56</v>
      </c>
      <c r="Q189" t="s">
        <v>65</v>
      </c>
      <c r="R189" t="s">
        <v>97</v>
      </c>
      <c r="S189" t="s">
        <v>66</v>
      </c>
      <c r="U189" t="s">
        <v>87</v>
      </c>
      <c r="V189" t="b">
        <v>1</v>
      </c>
      <c r="W189">
        <v>0</v>
      </c>
      <c r="X189">
        <v>0</v>
      </c>
      <c r="Y189" t="s">
        <v>14</v>
      </c>
    </row>
    <row r="190" spans="1:25">
      <c r="A190" t="s">
        <v>296</v>
      </c>
      <c r="B190" t="s">
        <v>296</v>
      </c>
      <c r="C190" t="s">
        <v>54</v>
      </c>
      <c r="D190" t="s">
        <v>55</v>
      </c>
      <c r="E190" s="3">
        <v>45896</v>
      </c>
      <c r="F190">
        <v>435.42</v>
      </c>
      <c r="G190" t="s">
        <v>56</v>
      </c>
      <c r="H190" t="s">
        <v>65</v>
      </c>
      <c r="I190" t="s">
        <v>103</v>
      </c>
      <c r="J190" t="s">
        <v>85</v>
      </c>
      <c r="K190" t="s">
        <v>138</v>
      </c>
      <c r="L190" t="s">
        <v>60</v>
      </c>
      <c r="M190" t="s">
        <v>61</v>
      </c>
      <c r="N190" s="3">
        <v>45896</v>
      </c>
      <c r="O190">
        <v>435.42</v>
      </c>
      <c r="P190" t="s">
        <v>56</v>
      </c>
      <c r="Q190" t="s">
        <v>65</v>
      </c>
      <c r="R190" t="s">
        <v>103</v>
      </c>
      <c r="S190" t="s">
        <v>85</v>
      </c>
      <c r="T190" t="s">
        <v>138</v>
      </c>
      <c r="U190" t="s">
        <v>54</v>
      </c>
      <c r="V190" t="b">
        <v>1</v>
      </c>
      <c r="W190">
        <v>0</v>
      </c>
      <c r="X190">
        <v>0</v>
      </c>
      <c r="Y190" t="s">
        <v>14</v>
      </c>
    </row>
    <row r="191" spans="1:25">
      <c r="A191" t="s">
        <v>297</v>
      </c>
      <c r="B191" t="s">
        <v>297</v>
      </c>
      <c r="C191" t="s">
        <v>92</v>
      </c>
      <c r="D191" t="s">
        <v>93</v>
      </c>
      <c r="E191" s="3">
        <v>45866</v>
      </c>
      <c r="F191">
        <v>-784.49</v>
      </c>
      <c r="G191" t="s">
        <v>56</v>
      </c>
      <c r="H191" t="s">
        <v>73</v>
      </c>
      <c r="I191" t="s">
        <v>97</v>
      </c>
      <c r="J191" t="s">
        <v>85</v>
      </c>
      <c r="K191" t="s">
        <v>138</v>
      </c>
      <c r="L191" t="s">
        <v>94</v>
      </c>
      <c r="M191" t="s">
        <v>95</v>
      </c>
      <c r="N191" s="3">
        <v>45866</v>
      </c>
      <c r="O191">
        <v>-784.49</v>
      </c>
      <c r="P191" t="s">
        <v>56</v>
      </c>
      <c r="Q191" t="s">
        <v>73</v>
      </c>
      <c r="R191" t="s">
        <v>97</v>
      </c>
      <c r="S191" t="s">
        <v>85</v>
      </c>
      <c r="T191" t="s">
        <v>138</v>
      </c>
      <c r="U191" t="s">
        <v>92</v>
      </c>
      <c r="V191" t="b">
        <v>1</v>
      </c>
      <c r="W191">
        <v>0</v>
      </c>
      <c r="X191">
        <v>0</v>
      </c>
      <c r="Y191" t="s">
        <v>14</v>
      </c>
    </row>
    <row r="192" spans="1:25">
      <c r="A192" t="s">
        <v>298</v>
      </c>
      <c r="B192" t="s">
        <v>298</v>
      </c>
      <c r="C192" t="s">
        <v>119</v>
      </c>
      <c r="D192" t="s">
        <v>120</v>
      </c>
      <c r="E192" s="3">
        <v>45889</v>
      </c>
      <c r="F192">
        <v>-568.36</v>
      </c>
      <c r="G192" t="s">
        <v>56</v>
      </c>
      <c r="H192" t="s">
        <v>80</v>
      </c>
      <c r="I192" t="s">
        <v>58</v>
      </c>
      <c r="J192" t="s">
        <v>81</v>
      </c>
      <c r="K192" t="s">
        <v>78</v>
      </c>
      <c r="L192" t="s">
        <v>121</v>
      </c>
      <c r="M192" t="s">
        <v>122</v>
      </c>
      <c r="N192" s="3">
        <v>45891</v>
      </c>
      <c r="O192">
        <v>-567.98</v>
      </c>
      <c r="P192" t="s">
        <v>56</v>
      </c>
      <c r="Q192" t="s">
        <v>80</v>
      </c>
      <c r="R192" t="s">
        <v>58</v>
      </c>
      <c r="S192" t="s">
        <v>81</v>
      </c>
      <c r="T192" t="s">
        <v>78</v>
      </c>
      <c r="U192" t="s">
        <v>119</v>
      </c>
      <c r="V192" t="b">
        <v>1</v>
      </c>
      <c r="W192">
        <v>-0.38</v>
      </c>
      <c r="X192">
        <v>-2</v>
      </c>
      <c r="Y192" t="s">
        <v>15</v>
      </c>
    </row>
    <row r="193" spans="1:25">
      <c r="A193" t="s">
        <v>299</v>
      </c>
      <c r="B193" t="s">
        <v>299</v>
      </c>
      <c r="C193" t="s">
        <v>71</v>
      </c>
      <c r="D193" t="s">
        <v>72</v>
      </c>
      <c r="E193" s="3">
        <v>45867</v>
      </c>
      <c r="F193">
        <v>312.73</v>
      </c>
      <c r="G193" t="s">
        <v>56</v>
      </c>
      <c r="H193" t="s">
        <v>80</v>
      </c>
      <c r="I193" t="s">
        <v>103</v>
      </c>
      <c r="J193" t="s">
        <v>117</v>
      </c>
      <c r="K193" t="s">
        <v>78</v>
      </c>
      <c r="L193" t="s">
        <v>74</v>
      </c>
      <c r="M193" t="s">
        <v>75</v>
      </c>
      <c r="N193" s="3">
        <v>45866</v>
      </c>
      <c r="O193">
        <v>313.33</v>
      </c>
      <c r="P193" t="s">
        <v>56</v>
      </c>
      <c r="Q193" t="s">
        <v>80</v>
      </c>
      <c r="R193" t="s">
        <v>103</v>
      </c>
      <c r="S193" t="s">
        <v>117</v>
      </c>
      <c r="T193" t="s">
        <v>78</v>
      </c>
      <c r="U193" t="s">
        <v>71</v>
      </c>
      <c r="V193" t="b">
        <v>1</v>
      </c>
      <c r="W193">
        <v>-0.6</v>
      </c>
      <c r="X193">
        <v>1</v>
      </c>
      <c r="Y193" t="s">
        <v>15</v>
      </c>
    </row>
    <row r="194" spans="1:25">
      <c r="A194" t="s">
        <v>300</v>
      </c>
      <c r="B194" t="s">
        <v>300</v>
      </c>
      <c r="C194" t="s">
        <v>87</v>
      </c>
      <c r="D194" t="s">
        <v>88</v>
      </c>
      <c r="E194" s="3">
        <v>45864</v>
      </c>
      <c r="F194">
        <v>770.6</v>
      </c>
      <c r="G194" t="s">
        <v>56</v>
      </c>
      <c r="H194" t="s">
        <v>57</v>
      </c>
      <c r="I194" t="s">
        <v>103</v>
      </c>
      <c r="K194" t="s">
        <v>67</v>
      </c>
      <c r="L194" t="s">
        <v>100</v>
      </c>
      <c r="M194" t="s">
        <v>101</v>
      </c>
      <c r="N194" s="3">
        <v>45864</v>
      </c>
      <c r="O194">
        <v>770.6</v>
      </c>
      <c r="P194" t="s">
        <v>56</v>
      </c>
      <c r="Q194" t="s">
        <v>57</v>
      </c>
      <c r="R194" t="s">
        <v>103</v>
      </c>
      <c r="T194" t="s">
        <v>67</v>
      </c>
      <c r="U194" t="s">
        <v>87</v>
      </c>
      <c r="V194" t="b">
        <v>1</v>
      </c>
      <c r="W194">
        <v>0</v>
      </c>
      <c r="X194">
        <v>0</v>
      </c>
      <c r="Y194" t="s">
        <v>14</v>
      </c>
    </row>
    <row r="195" spans="1:25">
      <c r="A195" t="s">
        <v>301</v>
      </c>
      <c r="B195" t="s">
        <v>301</v>
      </c>
      <c r="C195" t="s">
        <v>92</v>
      </c>
      <c r="D195" t="s">
        <v>93</v>
      </c>
      <c r="E195" s="3">
        <v>45890</v>
      </c>
      <c r="F195">
        <v>298.14999999999998</v>
      </c>
      <c r="G195" t="s">
        <v>56</v>
      </c>
      <c r="H195" t="s">
        <v>57</v>
      </c>
      <c r="I195" t="s">
        <v>103</v>
      </c>
      <c r="J195" t="s">
        <v>85</v>
      </c>
      <c r="K195" t="s">
        <v>105</v>
      </c>
      <c r="L195" t="s">
        <v>125</v>
      </c>
      <c r="M195" t="s">
        <v>126</v>
      </c>
      <c r="N195" s="3">
        <v>45890</v>
      </c>
      <c r="O195">
        <v>298.14999999999998</v>
      </c>
      <c r="P195" t="s">
        <v>56</v>
      </c>
      <c r="Q195" t="s">
        <v>57</v>
      </c>
      <c r="R195" t="s">
        <v>103</v>
      </c>
      <c r="S195" t="s">
        <v>85</v>
      </c>
      <c r="T195" t="s">
        <v>105</v>
      </c>
      <c r="U195" t="s">
        <v>92</v>
      </c>
      <c r="V195" t="b">
        <v>1</v>
      </c>
      <c r="W195">
        <v>0</v>
      </c>
      <c r="X195">
        <v>0</v>
      </c>
      <c r="Y195" t="s">
        <v>14</v>
      </c>
    </row>
    <row r="196" spans="1:25">
      <c r="A196" t="s">
        <v>302</v>
      </c>
      <c r="B196" t="s">
        <v>302</v>
      </c>
      <c r="C196" t="s">
        <v>71</v>
      </c>
      <c r="D196" t="s">
        <v>72</v>
      </c>
      <c r="E196" s="3">
        <v>45904</v>
      </c>
      <c r="F196">
        <v>-13.16</v>
      </c>
      <c r="G196" t="s">
        <v>56</v>
      </c>
      <c r="H196" t="s">
        <v>80</v>
      </c>
      <c r="I196" t="s">
        <v>77</v>
      </c>
      <c r="J196" t="s">
        <v>99</v>
      </c>
      <c r="K196" t="s">
        <v>59</v>
      </c>
      <c r="L196" t="s">
        <v>74</v>
      </c>
      <c r="M196" t="s">
        <v>75</v>
      </c>
      <c r="N196" s="3">
        <v>45904</v>
      </c>
      <c r="O196">
        <v>-13.16</v>
      </c>
      <c r="P196" t="s">
        <v>56</v>
      </c>
      <c r="Q196" t="s">
        <v>80</v>
      </c>
      <c r="R196" t="s">
        <v>77</v>
      </c>
      <c r="S196" t="s">
        <v>99</v>
      </c>
      <c r="T196" t="s">
        <v>59</v>
      </c>
      <c r="U196" t="s">
        <v>71</v>
      </c>
      <c r="V196" t="b">
        <v>1</v>
      </c>
      <c r="W196">
        <v>0</v>
      </c>
      <c r="X196">
        <v>0</v>
      </c>
      <c r="Y196" t="s">
        <v>14</v>
      </c>
    </row>
    <row r="197" spans="1:25">
      <c r="A197" t="s">
        <v>303</v>
      </c>
      <c r="B197" t="s">
        <v>303</v>
      </c>
      <c r="C197" t="s">
        <v>150</v>
      </c>
      <c r="D197" t="s">
        <v>151</v>
      </c>
      <c r="E197" s="3">
        <v>45880</v>
      </c>
      <c r="F197">
        <v>-1015.95</v>
      </c>
      <c r="G197" t="s">
        <v>56</v>
      </c>
      <c r="H197" t="s">
        <v>57</v>
      </c>
      <c r="I197" t="s">
        <v>77</v>
      </c>
      <c r="J197" t="s">
        <v>81</v>
      </c>
      <c r="K197" t="s">
        <v>78</v>
      </c>
      <c r="L197" t="s">
        <v>152</v>
      </c>
      <c r="M197" t="s">
        <v>153</v>
      </c>
      <c r="N197" s="3">
        <v>45880</v>
      </c>
      <c r="O197">
        <v>-1015.95</v>
      </c>
      <c r="P197" t="s">
        <v>56</v>
      </c>
      <c r="Q197" t="s">
        <v>57</v>
      </c>
      <c r="R197" t="s">
        <v>77</v>
      </c>
      <c r="S197" t="s">
        <v>81</v>
      </c>
      <c r="T197" t="s">
        <v>78</v>
      </c>
      <c r="U197" t="s">
        <v>150</v>
      </c>
      <c r="V197" t="b">
        <v>1</v>
      </c>
      <c r="W197">
        <v>0</v>
      </c>
      <c r="X197">
        <v>0</v>
      </c>
      <c r="Y197" t="s">
        <v>14</v>
      </c>
    </row>
    <row r="198" spans="1:25">
      <c r="A198" t="s">
        <v>304</v>
      </c>
      <c r="B198" t="s">
        <v>304</v>
      </c>
      <c r="C198" t="s">
        <v>119</v>
      </c>
      <c r="D198" t="s">
        <v>120</v>
      </c>
      <c r="E198" s="3">
        <v>45904</v>
      </c>
      <c r="F198">
        <v>22.31</v>
      </c>
      <c r="G198" t="s">
        <v>56</v>
      </c>
      <c r="H198" t="s">
        <v>80</v>
      </c>
      <c r="I198" t="s">
        <v>103</v>
      </c>
      <c r="J198" t="s">
        <v>99</v>
      </c>
      <c r="K198" t="s">
        <v>105</v>
      </c>
      <c r="L198" t="s">
        <v>121</v>
      </c>
      <c r="M198" t="s">
        <v>122</v>
      </c>
      <c r="N198" s="3">
        <v>45902</v>
      </c>
      <c r="O198">
        <v>28.37</v>
      </c>
      <c r="P198" t="s">
        <v>56</v>
      </c>
      <c r="Q198" t="s">
        <v>80</v>
      </c>
      <c r="R198" t="s">
        <v>103</v>
      </c>
      <c r="S198" t="s">
        <v>99</v>
      </c>
      <c r="T198" t="s">
        <v>105</v>
      </c>
      <c r="U198" t="s">
        <v>119</v>
      </c>
      <c r="V198" t="b">
        <v>1</v>
      </c>
      <c r="W198">
        <v>-6.06</v>
      </c>
      <c r="X198">
        <v>2</v>
      </c>
      <c r="Y198" t="s">
        <v>17</v>
      </c>
    </row>
    <row r="199" spans="1:25">
      <c r="A199" t="s">
        <v>305</v>
      </c>
      <c r="B199" t="s">
        <v>305</v>
      </c>
      <c r="C199" t="s">
        <v>119</v>
      </c>
      <c r="D199" t="s">
        <v>120</v>
      </c>
      <c r="E199" s="3">
        <v>45916</v>
      </c>
      <c r="F199">
        <v>659.1</v>
      </c>
      <c r="G199" t="s">
        <v>56</v>
      </c>
      <c r="H199" t="s">
        <v>80</v>
      </c>
      <c r="I199" t="s">
        <v>58</v>
      </c>
      <c r="J199" t="s">
        <v>109</v>
      </c>
      <c r="K199" t="s">
        <v>107</v>
      </c>
      <c r="L199" t="s">
        <v>121</v>
      </c>
      <c r="M199" t="s">
        <v>122</v>
      </c>
      <c r="N199" s="3">
        <v>45916</v>
      </c>
      <c r="O199">
        <v>659.1</v>
      </c>
      <c r="P199" t="s">
        <v>56</v>
      </c>
      <c r="Q199" t="s">
        <v>80</v>
      </c>
      <c r="R199" t="s">
        <v>58</v>
      </c>
      <c r="S199" t="s">
        <v>109</v>
      </c>
      <c r="T199" t="s">
        <v>107</v>
      </c>
      <c r="U199" t="s">
        <v>119</v>
      </c>
      <c r="V199" t="b">
        <v>1</v>
      </c>
      <c r="W199">
        <v>0</v>
      </c>
      <c r="X199">
        <v>0</v>
      </c>
      <c r="Y199" t="s">
        <v>14</v>
      </c>
    </row>
    <row r="200" spans="1:25">
      <c r="A200" t="s">
        <v>306</v>
      </c>
      <c r="B200" t="s">
        <v>306</v>
      </c>
      <c r="C200" t="s">
        <v>87</v>
      </c>
      <c r="D200" t="s">
        <v>88</v>
      </c>
      <c r="E200" s="3">
        <v>45866</v>
      </c>
      <c r="F200">
        <v>-734.71</v>
      </c>
      <c r="G200" t="s">
        <v>56</v>
      </c>
      <c r="H200" t="s">
        <v>73</v>
      </c>
      <c r="I200" t="s">
        <v>77</v>
      </c>
      <c r="J200" t="s">
        <v>85</v>
      </c>
      <c r="K200" t="s">
        <v>138</v>
      </c>
      <c r="L200" t="s">
        <v>89</v>
      </c>
      <c r="M200" t="s">
        <v>90</v>
      </c>
      <c r="N200" s="3">
        <v>45868</v>
      </c>
      <c r="O200">
        <v>-725.79</v>
      </c>
      <c r="P200" t="s">
        <v>56</v>
      </c>
      <c r="Q200" t="s">
        <v>73</v>
      </c>
      <c r="R200" t="s">
        <v>77</v>
      </c>
      <c r="S200" t="s">
        <v>85</v>
      </c>
      <c r="T200" t="s">
        <v>138</v>
      </c>
      <c r="U200" t="s">
        <v>87</v>
      </c>
      <c r="V200" t="b">
        <v>1</v>
      </c>
      <c r="W200">
        <v>-8.92</v>
      </c>
      <c r="X200">
        <v>-2</v>
      </c>
      <c r="Y200" t="s">
        <v>17</v>
      </c>
    </row>
    <row r="201" spans="1:25">
      <c r="A201" t="s">
        <v>307</v>
      </c>
      <c r="B201" t="s">
        <v>307</v>
      </c>
      <c r="C201" t="s">
        <v>63</v>
      </c>
      <c r="D201" t="s">
        <v>64</v>
      </c>
      <c r="E201" s="3">
        <v>45865</v>
      </c>
      <c r="F201">
        <v>536.77</v>
      </c>
      <c r="G201" t="s">
        <v>56</v>
      </c>
      <c r="H201" t="s">
        <v>57</v>
      </c>
      <c r="I201" t="s">
        <v>58</v>
      </c>
      <c r="J201" t="s">
        <v>66</v>
      </c>
      <c r="K201" t="s">
        <v>107</v>
      </c>
      <c r="L201" t="s">
        <v>82</v>
      </c>
      <c r="M201" t="s">
        <v>83</v>
      </c>
      <c r="N201" s="3">
        <v>45865</v>
      </c>
      <c r="O201">
        <v>536.77</v>
      </c>
      <c r="P201" t="s">
        <v>56</v>
      </c>
      <c r="Q201" t="s">
        <v>57</v>
      </c>
      <c r="R201" t="s">
        <v>58</v>
      </c>
      <c r="S201" t="s">
        <v>66</v>
      </c>
      <c r="T201" t="s">
        <v>107</v>
      </c>
      <c r="U201" t="s">
        <v>63</v>
      </c>
      <c r="V201" t="b">
        <v>1</v>
      </c>
      <c r="W201">
        <v>0</v>
      </c>
      <c r="X201">
        <v>0</v>
      </c>
      <c r="Y201" t="s">
        <v>14</v>
      </c>
    </row>
    <row r="202" spans="1:25">
      <c r="A202" t="s">
        <v>308</v>
      </c>
      <c r="B202" t="s">
        <v>308</v>
      </c>
      <c r="C202" t="s">
        <v>119</v>
      </c>
      <c r="D202" t="s">
        <v>120</v>
      </c>
      <c r="E202" s="3">
        <v>45879</v>
      </c>
      <c r="F202">
        <v>-79.150000000000006</v>
      </c>
      <c r="G202" t="s">
        <v>56</v>
      </c>
      <c r="H202" t="s">
        <v>80</v>
      </c>
      <c r="I202" t="s">
        <v>97</v>
      </c>
      <c r="J202" t="s">
        <v>117</v>
      </c>
      <c r="K202" t="s">
        <v>59</v>
      </c>
      <c r="L202" t="s">
        <v>121</v>
      </c>
      <c r="M202" t="s">
        <v>122</v>
      </c>
      <c r="N202" s="3">
        <v>45879</v>
      </c>
      <c r="O202">
        <v>-79.150000000000006</v>
      </c>
      <c r="P202" t="s">
        <v>56</v>
      </c>
      <c r="Q202" t="s">
        <v>80</v>
      </c>
      <c r="R202" t="s">
        <v>97</v>
      </c>
      <c r="S202" t="s">
        <v>117</v>
      </c>
      <c r="T202" t="s">
        <v>59</v>
      </c>
      <c r="U202" t="s">
        <v>119</v>
      </c>
      <c r="V202" t="b">
        <v>1</v>
      </c>
      <c r="W202">
        <v>0</v>
      </c>
      <c r="X202">
        <v>0</v>
      </c>
      <c r="Y202" t="s">
        <v>14</v>
      </c>
    </row>
    <row r="203" spans="1:25">
      <c r="A203" t="s">
        <v>309</v>
      </c>
      <c r="B203" t="s">
        <v>309</v>
      </c>
      <c r="C203" t="s">
        <v>87</v>
      </c>
      <c r="D203" t="s">
        <v>88</v>
      </c>
      <c r="E203" s="3">
        <v>45894</v>
      </c>
      <c r="F203">
        <v>-753.75</v>
      </c>
      <c r="G203" t="s">
        <v>56</v>
      </c>
      <c r="H203" t="s">
        <v>80</v>
      </c>
      <c r="I203" t="s">
        <v>77</v>
      </c>
      <c r="J203" t="s">
        <v>81</v>
      </c>
      <c r="K203" t="s">
        <v>78</v>
      </c>
      <c r="L203" t="s">
        <v>100</v>
      </c>
      <c r="M203" t="s">
        <v>101</v>
      </c>
      <c r="N203" s="3">
        <v>45894</v>
      </c>
      <c r="O203">
        <v>-753.75</v>
      </c>
      <c r="P203" t="s">
        <v>56</v>
      </c>
      <c r="Q203" t="s">
        <v>80</v>
      </c>
      <c r="R203" t="s">
        <v>77</v>
      </c>
      <c r="S203" t="s">
        <v>81</v>
      </c>
      <c r="T203" t="s">
        <v>78</v>
      </c>
      <c r="U203" t="s">
        <v>87</v>
      </c>
      <c r="V203" t="b">
        <v>1</v>
      </c>
      <c r="W203">
        <v>0</v>
      </c>
      <c r="X203">
        <v>0</v>
      </c>
      <c r="Y203" t="s">
        <v>14</v>
      </c>
    </row>
    <row r="204" spans="1:25">
      <c r="A204" t="s">
        <v>310</v>
      </c>
      <c r="B204" t="s">
        <v>310</v>
      </c>
      <c r="C204" t="s">
        <v>63</v>
      </c>
      <c r="D204" t="s">
        <v>64</v>
      </c>
      <c r="E204" s="3">
        <v>45916</v>
      </c>
      <c r="F204">
        <v>139.61000000000001</v>
      </c>
      <c r="G204" t="s">
        <v>56</v>
      </c>
      <c r="H204" t="s">
        <v>65</v>
      </c>
      <c r="I204" t="s">
        <v>77</v>
      </c>
      <c r="J204" t="s">
        <v>66</v>
      </c>
      <c r="K204" t="s">
        <v>107</v>
      </c>
      <c r="L204" t="s">
        <v>82</v>
      </c>
      <c r="M204" t="s">
        <v>83</v>
      </c>
      <c r="N204" s="3">
        <v>45916</v>
      </c>
      <c r="O204">
        <v>139.61000000000001</v>
      </c>
      <c r="P204" t="s">
        <v>56</v>
      </c>
      <c r="Q204" t="s">
        <v>65</v>
      </c>
      <c r="R204" t="s">
        <v>77</v>
      </c>
      <c r="S204" t="s">
        <v>66</v>
      </c>
      <c r="T204" t="s">
        <v>107</v>
      </c>
      <c r="U204" t="s">
        <v>63</v>
      </c>
      <c r="V204" t="b">
        <v>1</v>
      </c>
      <c r="W204">
        <v>0</v>
      </c>
      <c r="X204">
        <v>0</v>
      </c>
      <c r="Y204" t="s">
        <v>14</v>
      </c>
    </row>
    <row r="205" spans="1:25">
      <c r="A205" t="s">
        <v>311</v>
      </c>
      <c r="B205" t="s">
        <v>311</v>
      </c>
      <c r="C205" t="s">
        <v>150</v>
      </c>
      <c r="D205" t="s">
        <v>151</v>
      </c>
      <c r="E205" s="3">
        <v>45912</v>
      </c>
      <c r="F205">
        <v>164.09</v>
      </c>
      <c r="G205" t="s">
        <v>56</v>
      </c>
      <c r="H205" t="s">
        <v>80</v>
      </c>
      <c r="I205" t="s">
        <v>77</v>
      </c>
      <c r="K205" t="s">
        <v>138</v>
      </c>
      <c r="L205" t="s">
        <v>152</v>
      </c>
      <c r="M205" t="s">
        <v>153</v>
      </c>
      <c r="N205" s="3">
        <v>45910</v>
      </c>
      <c r="O205">
        <v>169.47</v>
      </c>
      <c r="P205" t="s">
        <v>56</v>
      </c>
      <c r="Q205" t="s">
        <v>80</v>
      </c>
      <c r="R205" t="s">
        <v>77</v>
      </c>
      <c r="T205" t="s">
        <v>138</v>
      </c>
      <c r="U205" t="s">
        <v>150</v>
      </c>
      <c r="V205" t="b">
        <v>1</v>
      </c>
      <c r="W205">
        <v>-5.38</v>
      </c>
      <c r="X205">
        <v>2</v>
      </c>
      <c r="Y205" t="s">
        <v>17</v>
      </c>
    </row>
    <row r="206" spans="1:25">
      <c r="A206" t="s">
        <v>312</v>
      </c>
      <c r="B206" t="s">
        <v>312</v>
      </c>
      <c r="C206" t="s">
        <v>63</v>
      </c>
      <c r="D206" t="s">
        <v>64</v>
      </c>
      <c r="E206" s="3">
        <v>45860</v>
      </c>
      <c r="F206">
        <v>409.58</v>
      </c>
      <c r="G206" t="s">
        <v>56</v>
      </c>
      <c r="H206" t="s">
        <v>80</v>
      </c>
      <c r="I206" t="s">
        <v>77</v>
      </c>
      <c r="J206" t="s">
        <v>85</v>
      </c>
      <c r="K206" t="s">
        <v>59</v>
      </c>
      <c r="L206" t="s">
        <v>82</v>
      </c>
      <c r="M206" t="s">
        <v>83</v>
      </c>
      <c r="N206" s="3">
        <v>45860</v>
      </c>
      <c r="O206">
        <v>409.58</v>
      </c>
      <c r="P206" t="s">
        <v>56</v>
      </c>
      <c r="Q206" t="s">
        <v>80</v>
      </c>
      <c r="R206" t="s">
        <v>77</v>
      </c>
      <c r="S206" t="s">
        <v>85</v>
      </c>
      <c r="T206" t="s">
        <v>59</v>
      </c>
      <c r="U206" t="s">
        <v>63</v>
      </c>
      <c r="V206" t="b">
        <v>1</v>
      </c>
      <c r="W206">
        <v>0</v>
      </c>
      <c r="X206">
        <v>0</v>
      </c>
      <c r="Y206" t="s">
        <v>14</v>
      </c>
    </row>
    <row r="207" spans="1:25">
      <c r="A207" t="s">
        <v>313</v>
      </c>
      <c r="B207" t="s">
        <v>313</v>
      </c>
      <c r="C207" t="s">
        <v>92</v>
      </c>
      <c r="D207" t="s">
        <v>93</v>
      </c>
      <c r="E207" s="3">
        <v>45872</v>
      </c>
      <c r="F207">
        <v>-697.13</v>
      </c>
      <c r="G207" t="s">
        <v>56</v>
      </c>
      <c r="H207" t="s">
        <v>57</v>
      </c>
      <c r="I207" t="s">
        <v>58</v>
      </c>
      <c r="J207" t="s">
        <v>66</v>
      </c>
      <c r="K207" t="s">
        <v>59</v>
      </c>
      <c r="L207" t="s">
        <v>94</v>
      </c>
      <c r="M207" t="s">
        <v>95</v>
      </c>
      <c r="N207" s="3">
        <v>45872</v>
      </c>
      <c r="O207">
        <v>-697.13</v>
      </c>
      <c r="P207" t="s">
        <v>56</v>
      </c>
      <c r="Q207" t="s">
        <v>57</v>
      </c>
      <c r="R207" t="s">
        <v>58</v>
      </c>
      <c r="S207" t="s">
        <v>66</v>
      </c>
      <c r="T207" t="s">
        <v>59</v>
      </c>
      <c r="U207" t="s">
        <v>92</v>
      </c>
      <c r="V207" t="b">
        <v>1</v>
      </c>
      <c r="W207">
        <v>0</v>
      </c>
      <c r="X207">
        <v>0</v>
      </c>
      <c r="Y207" t="s">
        <v>14</v>
      </c>
    </row>
    <row r="208" spans="1:25">
      <c r="A208" t="s">
        <v>314</v>
      </c>
      <c r="B208" t="s">
        <v>314</v>
      </c>
      <c r="C208" t="s">
        <v>63</v>
      </c>
      <c r="D208" t="s">
        <v>64</v>
      </c>
      <c r="E208" s="3">
        <v>45882</v>
      </c>
      <c r="F208">
        <v>-575.03</v>
      </c>
      <c r="G208" t="s">
        <v>56</v>
      </c>
      <c r="H208" t="s">
        <v>65</v>
      </c>
      <c r="I208" t="s">
        <v>58</v>
      </c>
      <c r="K208" t="s">
        <v>107</v>
      </c>
      <c r="L208" t="s">
        <v>82</v>
      </c>
      <c r="M208" t="s">
        <v>83</v>
      </c>
      <c r="N208" s="3">
        <v>45882</v>
      </c>
      <c r="O208">
        <v>-575.03</v>
      </c>
      <c r="P208" t="s">
        <v>56</v>
      </c>
      <c r="Q208" t="s">
        <v>65</v>
      </c>
      <c r="R208" t="s">
        <v>58</v>
      </c>
      <c r="T208" t="s">
        <v>107</v>
      </c>
      <c r="U208" t="s">
        <v>63</v>
      </c>
      <c r="V208" t="b">
        <v>1</v>
      </c>
      <c r="W208">
        <v>0</v>
      </c>
      <c r="X208">
        <v>0</v>
      </c>
      <c r="Y208" t="s">
        <v>14</v>
      </c>
    </row>
    <row r="209" spans="1:25">
      <c r="A209" t="s">
        <v>315</v>
      </c>
      <c r="B209" t="s">
        <v>315</v>
      </c>
      <c r="C209" t="s">
        <v>63</v>
      </c>
      <c r="D209" t="s">
        <v>64</v>
      </c>
      <c r="E209" s="3">
        <v>45896</v>
      </c>
      <c r="F209">
        <v>702.69</v>
      </c>
      <c r="G209" t="s">
        <v>56</v>
      </c>
      <c r="H209" t="s">
        <v>65</v>
      </c>
      <c r="I209" t="s">
        <v>97</v>
      </c>
      <c r="J209" t="s">
        <v>117</v>
      </c>
      <c r="K209" t="s">
        <v>78</v>
      </c>
      <c r="L209" t="s">
        <v>82</v>
      </c>
      <c r="M209" t="s">
        <v>83</v>
      </c>
      <c r="N209" s="3">
        <v>45896</v>
      </c>
      <c r="O209">
        <v>702.69</v>
      </c>
      <c r="P209" t="s">
        <v>56</v>
      </c>
      <c r="Q209" t="s">
        <v>65</v>
      </c>
      <c r="R209" t="s">
        <v>97</v>
      </c>
      <c r="S209" t="s">
        <v>117</v>
      </c>
      <c r="T209" t="s">
        <v>78</v>
      </c>
      <c r="U209" t="s">
        <v>63</v>
      </c>
      <c r="V209" t="b">
        <v>1</v>
      </c>
      <c r="W209">
        <v>0</v>
      </c>
      <c r="X209">
        <v>0</v>
      </c>
      <c r="Y209" t="s">
        <v>14</v>
      </c>
    </row>
    <row r="210" spans="1:25">
      <c r="A210" t="s">
        <v>316</v>
      </c>
      <c r="B210" t="s">
        <v>316</v>
      </c>
      <c r="C210" t="s">
        <v>92</v>
      </c>
      <c r="D210" t="s">
        <v>93</v>
      </c>
      <c r="E210" s="3">
        <v>45895</v>
      </c>
      <c r="F210">
        <v>389.09</v>
      </c>
      <c r="G210" t="s">
        <v>56</v>
      </c>
      <c r="H210" t="s">
        <v>73</v>
      </c>
      <c r="I210" t="s">
        <v>97</v>
      </c>
      <c r="J210" t="s">
        <v>85</v>
      </c>
      <c r="K210" t="s">
        <v>138</v>
      </c>
      <c r="L210" t="s">
        <v>125</v>
      </c>
      <c r="M210" t="s">
        <v>126</v>
      </c>
      <c r="N210" s="3">
        <v>45895</v>
      </c>
      <c r="O210">
        <v>389.09</v>
      </c>
      <c r="P210" t="s">
        <v>56</v>
      </c>
      <c r="Q210" t="s">
        <v>73</v>
      </c>
      <c r="R210" t="s">
        <v>97</v>
      </c>
      <c r="S210" t="s">
        <v>85</v>
      </c>
      <c r="T210" t="s">
        <v>138</v>
      </c>
      <c r="U210" t="s">
        <v>92</v>
      </c>
      <c r="V210" t="b">
        <v>1</v>
      </c>
      <c r="W210">
        <v>0</v>
      </c>
      <c r="X210">
        <v>0</v>
      </c>
      <c r="Y210" t="s">
        <v>14</v>
      </c>
    </row>
    <row r="211" spans="1:25">
      <c r="A211" t="s">
        <v>317</v>
      </c>
      <c r="B211" t="s">
        <v>317</v>
      </c>
      <c r="C211" t="s">
        <v>63</v>
      </c>
      <c r="D211" t="s">
        <v>64</v>
      </c>
      <c r="E211" s="3">
        <v>45876</v>
      </c>
      <c r="F211">
        <v>456.95</v>
      </c>
      <c r="G211" t="s">
        <v>56</v>
      </c>
      <c r="H211" t="s">
        <v>73</v>
      </c>
      <c r="I211" t="s">
        <v>58</v>
      </c>
      <c r="J211" t="s">
        <v>117</v>
      </c>
      <c r="L211" t="s">
        <v>68</v>
      </c>
      <c r="M211" t="s">
        <v>69</v>
      </c>
      <c r="N211" s="3">
        <v>45876</v>
      </c>
      <c r="O211">
        <v>456.95</v>
      </c>
      <c r="P211" t="s">
        <v>56</v>
      </c>
      <c r="Q211" t="s">
        <v>73</v>
      </c>
      <c r="R211" t="s">
        <v>58</v>
      </c>
      <c r="S211" t="s">
        <v>117</v>
      </c>
      <c r="U211" t="s">
        <v>63</v>
      </c>
      <c r="V211" t="b">
        <v>1</v>
      </c>
      <c r="W211">
        <v>0</v>
      </c>
      <c r="X211">
        <v>0</v>
      </c>
      <c r="Y211" t="s">
        <v>14</v>
      </c>
    </row>
    <row r="212" spans="1:25">
      <c r="A212" t="s">
        <v>318</v>
      </c>
      <c r="B212" t="s">
        <v>318</v>
      </c>
      <c r="C212" t="s">
        <v>71</v>
      </c>
      <c r="D212" t="s">
        <v>72</v>
      </c>
      <c r="E212" s="3">
        <v>45904</v>
      </c>
      <c r="F212">
        <v>215.72</v>
      </c>
      <c r="G212" t="s">
        <v>56</v>
      </c>
      <c r="H212" t="s">
        <v>57</v>
      </c>
      <c r="I212" t="s">
        <v>77</v>
      </c>
      <c r="J212" t="s">
        <v>81</v>
      </c>
      <c r="K212" t="s">
        <v>78</v>
      </c>
      <c r="L212" t="s">
        <v>74</v>
      </c>
      <c r="M212" t="s">
        <v>75</v>
      </c>
      <c r="N212" s="3">
        <v>45904</v>
      </c>
      <c r="O212">
        <v>215.72</v>
      </c>
      <c r="P212" t="s">
        <v>56</v>
      </c>
      <c r="Q212" t="s">
        <v>57</v>
      </c>
      <c r="R212" t="s">
        <v>77</v>
      </c>
      <c r="S212" t="s">
        <v>81</v>
      </c>
      <c r="T212" t="s">
        <v>78</v>
      </c>
      <c r="U212" t="s">
        <v>71</v>
      </c>
      <c r="V212" t="b">
        <v>1</v>
      </c>
      <c r="W212">
        <v>0</v>
      </c>
      <c r="X212">
        <v>0</v>
      </c>
      <c r="Y212" t="s">
        <v>14</v>
      </c>
    </row>
    <row r="213" spans="1:25">
      <c r="A213" t="s">
        <v>319</v>
      </c>
      <c r="B213" t="s">
        <v>319</v>
      </c>
      <c r="C213" t="s">
        <v>63</v>
      </c>
      <c r="D213" t="s">
        <v>64</v>
      </c>
      <c r="E213" s="3">
        <v>45873</v>
      </c>
      <c r="F213">
        <v>-420.78</v>
      </c>
      <c r="G213" t="s">
        <v>56</v>
      </c>
      <c r="H213" t="s">
        <v>57</v>
      </c>
      <c r="I213" t="s">
        <v>58</v>
      </c>
      <c r="J213" t="s">
        <v>99</v>
      </c>
      <c r="K213" t="s">
        <v>105</v>
      </c>
      <c r="L213" t="s">
        <v>68</v>
      </c>
      <c r="M213" t="s">
        <v>69</v>
      </c>
      <c r="N213" s="3">
        <v>45873</v>
      </c>
      <c r="O213">
        <v>-420.78</v>
      </c>
      <c r="P213" t="s">
        <v>56</v>
      </c>
      <c r="Q213" t="s">
        <v>57</v>
      </c>
      <c r="R213" t="s">
        <v>58</v>
      </c>
      <c r="S213" t="s">
        <v>99</v>
      </c>
      <c r="T213" t="s">
        <v>105</v>
      </c>
      <c r="U213" t="s">
        <v>63</v>
      </c>
      <c r="V213" t="b">
        <v>1</v>
      </c>
      <c r="W213">
        <v>0</v>
      </c>
      <c r="X213">
        <v>0</v>
      </c>
      <c r="Y213" t="s">
        <v>14</v>
      </c>
    </row>
    <row r="214" spans="1:25">
      <c r="A214" t="s">
        <v>320</v>
      </c>
      <c r="B214" t="s">
        <v>320</v>
      </c>
      <c r="C214" t="s">
        <v>87</v>
      </c>
      <c r="D214" t="s">
        <v>88</v>
      </c>
      <c r="E214" s="3">
        <v>45902</v>
      </c>
      <c r="F214">
        <v>-648.28</v>
      </c>
      <c r="G214" t="s">
        <v>56</v>
      </c>
      <c r="H214" t="s">
        <v>73</v>
      </c>
      <c r="I214" t="s">
        <v>103</v>
      </c>
      <c r="J214" t="s">
        <v>99</v>
      </c>
      <c r="K214" t="s">
        <v>105</v>
      </c>
      <c r="L214" t="s">
        <v>100</v>
      </c>
      <c r="M214" t="s">
        <v>101</v>
      </c>
      <c r="N214" s="3">
        <v>45903</v>
      </c>
      <c r="O214">
        <v>-648.75</v>
      </c>
      <c r="P214" t="s">
        <v>56</v>
      </c>
      <c r="Q214" t="s">
        <v>73</v>
      </c>
      <c r="R214" t="s">
        <v>103</v>
      </c>
      <c r="S214" t="s">
        <v>99</v>
      </c>
      <c r="T214" t="s">
        <v>105</v>
      </c>
      <c r="U214" t="s">
        <v>87</v>
      </c>
      <c r="V214" t="b">
        <v>1</v>
      </c>
      <c r="W214">
        <v>0.47</v>
      </c>
      <c r="X214">
        <v>-1</v>
      </c>
      <c r="Y214" t="s">
        <v>15</v>
      </c>
    </row>
    <row r="215" spans="1:25">
      <c r="A215" t="s">
        <v>321</v>
      </c>
      <c r="B215" t="s">
        <v>321</v>
      </c>
      <c r="C215" t="s">
        <v>87</v>
      </c>
      <c r="D215" t="s">
        <v>88</v>
      </c>
      <c r="E215" s="3">
        <v>45862</v>
      </c>
      <c r="F215">
        <v>425.04</v>
      </c>
      <c r="G215" t="s">
        <v>56</v>
      </c>
      <c r="H215" t="s">
        <v>57</v>
      </c>
      <c r="I215" t="s">
        <v>97</v>
      </c>
      <c r="J215" t="s">
        <v>99</v>
      </c>
      <c r="K215" t="s">
        <v>78</v>
      </c>
      <c r="L215" t="s">
        <v>89</v>
      </c>
      <c r="M215" t="s">
        <v>90</v>
      </c>
      <c r="N215" s="3">
        <v>45864</v>
      </c>
      <c r="O215">
        <v>425.09</v>
      </c>
      <c r="P215" t="s">
        <v>56</v>
      </c>
      <c r="Q215" t="s">
        <v>57</v>
      </c>
      <c r="R215" t="s">
        <v>97</v>
      </c>
      <c r="S215" t="s">
        <v>99</v>
      </c>
      <c r="T215" t="s">
        <v>78</v>
      </c>
      <c r="U215" t="s">
        <v>87</v>
      </c>
      <c r="V215" t="b">
        <v>1</v>
      </c>
      <c r="W215">
        <v>-0.05</v>
      </c>
      <c r="X215">
        <v>-2</v>
      </c>
      <c r="Y215" t="s">
        <v>15</v>
      </c>
    </row>
    <row r="216" spans="1:25">
      <c r="A216" t="s">
        <v>322</v>
      </c>
      <c r="B216" t="s">
        <v>322</v>
      </c>
      <c r="C216" t="s">
        <v>87</v>
      </c>
      <c r="D216" t="s">
        <v>88</v>
      </c>
      <c r="E216" s="3">
        <v>45917</v>
      </c>
      <c r="F216">
        <v>-618.86</v>
      </c>
      <c r="G216" t="s">
        <v>56</v>
      </c>
      <c r="H216" t="s">
        <v>80</v>
      </c>
      <c r="I216" t="s">
        <v>97</v>
      </c>
      <c r="J216" t="s">
        <v>117</v>
      </c>
      <c r="K216" t="s">
        <v>138</v>
      </c>
      <c r="L216" t="s">
        <v>89</v>
      </c>
      <c r="M216" t="s">
        <v>90</v>
      </c>
      <c r="N216" s="3">
        <v>45917</v>
      </c>
      <c r="O216">
        <v>-618.86</v>
      </c>
      <c r="P216" t="s">
        <v>56</v>
      </c>
      <c r="Q216" t="s">
        <v>80</v>
      </c>
      <c r="R216" t="s">
        <v>97</v>
      </c>
      <c r="S216" t="s">
        <v>117</v>
      </c>
      <c r="T216" t="s">
        <v>138</v>
      </c>
      <c r="U216" t="s">
        <v>87</v>
      </c>
      <c r="V216" t="b">
        <v>1</v>
      </c>
      <c r="W216">
        <v>0</v>
      </c>
      <c r="X216">
        <v>0</v>
      </c>
      <c r="Y216" t="s">
        <v>14</v>
      </c>
    </row>
    <row r="217" spans="1:25">
      <c r="A217" t="s">
        <v>323</v>
      </c>
      <c r="B217" t="s">
        <v>323</v>
      </c>
      <c r="C217" t="s">
        <v>119</v>
      </c>
      <c r="D217" t="s">
        <v>120</v>
      </c>
      <c r="E217" s="3">
        <v>45872</v>
      </c>
      <c r="F217">
        <v>-356.68</v>
      </c>
      <c r="G217" t="s">
        <v>56</v>
      </c>
      <c r="H217" t="s">
        <v>73</v>
      </c>
      <c r="I217" t="s">
        <v>77</v>
      </c>
      <c r="K217" t="s">
        <v>59</v>
      </c>
      <c r="L217" t="s">
        <v>121</v>
      </c>
      <c r="M217" t="s">
        <v>122</v>
      </c>
      <c r="N217" s="3">
        <v>45873</v>
      </c>
      <c r="O217">
        <v>-356.37</v>
      </c>
      <c r="P217" t="s">
        <v>56</v>
      </c>
      <c r="Q217" t="s">
        <v>73</v>
      </c>
      <c r="R217" t="s">
        <v>77</v>
      </c>
      <c r="T217" t="s">
        <v>59</v>
      </c>
      <c r="U217" t="s">
        <v>119</v>
      </c>
      <c r="V217" t="b">
        <v>1</v>
      </c>
      <c r="W217">
        <v>-0.31</v>
      </c>
      <c r="X217">
        <v>-1</v>
      </c>
      <c r="Y217" t="s">
        <v>15</v>
      </c>
    </row>
    <row r="218" spans="1:25">
      <c r="A218" t="s">
        <v>324</v>
      </c>
      <c r="B218" t="s">
        <v>324</v>
      </c>
      <c r="C218" t="s">
        <v>63</v>
      </c>
      <c r="D218" t="s">
        <v>64</v>
      </c>
      <c r="E218" s="3">
        <v>45911</v>
      </c>
      <c r="F218">
        <v>-351.9</v>
      </c>
      <c r="G218" t="s">
        <v>56</v>
      </c>
      <c r="H218" t="s">
        <v>65</v>
      </c>
      <c r="I218" t="s">
        <v>103</v>
      </c>
      <c r="K218" t="s">
        <v>78</v>
      </c>
      <c r="L218" t="s">
        <v>82</v>
      </c>
      <c r="M218" t="s">
        <v>83</v>
      </c>
      <c r="N218" s="3">
        <v>45913</v>
      </c>
      <c r="O218">
        <v>-352.24</v>
      </c>
      <c r="P218" t="s">
        <v>56</v>
      </c>
      <c r="Q218" t="s">
        <v>65</v>
      </c>
      <c r="R218" t="s">
        <v>103</v>
      </c>
      <c r="T218" t="s">
        <v>78</v>
      </c>
      <c r="U218" t="s">
        <v>63</v>
      </c>
      <c r="V218" t="b">
        <v>1</v>
      </c>
      <c r="W218">
        <v>0.34</v>
      </c>
      <c r="X218">
        <v>-2</v>
      </c>
      <c r="Y218" t="s">
        <v>15</v>
      </c>
    </row>
    <row r="219" spans="1:25">
      <c r="A219" t="s">
        <v>325</v>
      </c>
      <c r="B219" t="s">
        <v>325</v>
      </c>
      <c r="C219" t="s">
        <v>71</v>
      </c>
      <c r="D219" t="s">
        <v>72</v>
      </c>
      <c r="E219" s="3">
        <v>45896</v>
      </c>
      <c r="F219">
        <v>509.79</v>
      </c>
      <c r="G219" t="s">
        <v>56</v>
      </c>
      <c r="H219" t="s">
        <v>65</v>
      </c>
      <c r="I219" t="s">
        <v>97</v>
      </c>
      <c r="J219" t="s">
        <v>66</v>
      </c>
      <c r="K219" t="s">
        <v>107</v>
      </c>
      <c r="L219" t="s">
        <v>74</v>
      </c>
      <c r="M219" t="s">
        <v>75</v>
      </c>
      <c r="N219" s="3">
        <v>45896</v>
      </c>
      <c r="O219">
        <v>509.79</v>
      </c>
      <c r="P219" t="s">
        <v>56</v>
      </c>
      <c r="Q219" t="s">
        <v>65</v>
      </c>
      <c r="R219" t="s">
        <v>97</v>
      </c>
      <c r="S219" t="s">
        <v>66</v>
      </c>
      <c r="T219" t="s">
        <v>107</v>
      </c>
      <c r="U219" t="s">
        <v>71</v>
      </c>
      <c r="V219" t="b">
        <v>1</v>
      </c>
      <c r="W219">
        <v>0</v>
      </c>
      <c r="X219">
        <v>0</v>
      </c>
      <c r="Y219" t="s">
        <v>14</v>
      </c>
    </row>
    <row r="220" spans="1:25">
      <c r="A220" t="s">
        <v>326</v>
      </c>
      <c r="B220" t="s">
        <v>326</v>
      </c>
      <c r="C220" t="s">
        <v>63</v>
      </c>
      <c r="D220" t="s">
        <v>64</v>
      </c>
      <c r="E220" s="3">
        <v>45863</v>
      </c>
      <c r="F220">
        <v>451.28</v>
      </c>
      <c r="G220" t="s">
        <v>56</v>
      </c>
      <c r="H220" t="s">
        <v>65</v>
      </c>
      <c r="I220" t="s">
        <v>103</v>
      </c>
      <c r="J220" t="s">
        <v>81</v>
      </c>
      <c r="K220" t="s">
        <v>105</v>
      </c>
      <c r="L220" t="s">
        <v>68</v>
      </c>
      <c r="M220" t="s">
        <v>69</v>
      </c>
      <c r="N220" s="3">
        <v>45863</v>
      </c>
      <c r="O220">
        <v>451.28</v>
      </c>
      <c r="P220" t="s">
        <v>56</v>
      </c>
      <c r="Q220" t="s">
        <v>65</v>
      </c>
      <c r="R220" t="s">
        <v>103</v>
      </c>
      <c r="S220" t="s">
        <v>81</v>
      </c>
      <c r="T220" t="s">
        <v>105</v>
      </c>
      <c r="U220" t="s">
        <v>63</v>
      </c>
      <c r="V220" t="b">
        <v>1</v>
      </c>
      <c r="W220">
        <v>0</v>
      </c>
      <c r="X220">
        <v>0</v>
      </c>
      <c r="Y220" t="s">
        <v>14</v>
      </c>
    </row>
    <row r="221" spans="1:25">
      <c r="A221" t="s">
        <v>327</v>
      </c>
      <c r="B221" t="s">
        <v>327</v>
      </c>
      <c r="C221" t="s">
        <v>63</v>
      </c>
      <c r="D221" t="s">
        <v>64</v>
      </c>
      <c r="E221" s="3">
        <v>45858</v>
      </c>
      <c r="F221">
        <v>-648.1</v>
      </c>
      <c r="G221" t="s">
        <v>56</v>
      </c>
      <c r="H221" t="s">
        <v>57</v>
      </c>
      <c r="I221" t="s">
        <v>58</v>
      </c>
      <c r="J221" t="s">
        <v>109</v>
      </c>
      <c r="K221" t="s">
        <v>107</v>
      </c>
      <c r="L221" t="s">
        <v>82</v>
      </c>
      <c r="M221" t="s">
        <v>83</v>
      </c>
      <c r="N221" s="3">
        <v>45858</v>
      </c>
      <c r="O221">
        <v>-649.42999999999995</v>
      </c>
      <c r="P221" t="s">
        <v>56</v>
      </c>
      <c r="Q221" t="s">
        <v>57</v>
      </c>
      <c r="R221" t="s">
        <v>58</v>
      </c>
      <c r="S221" t="s">
        <v>109</v>
      </c>
      <c r="T221" t="s">
        <v>107</v>
      </c>
      <c r="U221" t="s">
        <v>63</v>
      </c>
      <c r="V221" t="b">
        <v>1</v>
      </c>
      <c r="W221">
        <v>1.33</v>
      </c>
      <c r="X221">
        <v>0</v>
      </c>
      <c r="Y221" t="s">
        <v>17</v>
      </c>
    </row>
    <row r="222" spans="1:25">
      <c r="A222" t="s">
        <v>328</v>
      </c>
      <c r="B222" t="s">
        <v>328</v>
      </c>
      <c r="C222" t="s">
        <v>63</v>
      </c>
      <c r="D222" t="s">
        <v>64</v>
      </c>
      <c r="E222" s="3">
        <v>45911</v>
      </c>
      <c r="F222">
        <v>544.57000000000005</v>
      </c>
      <c r="G222" t="s">
        <v>56</v>
      </c>
      <c r="H222" t="s">
        <v>80</v>
      </c>
      <c r="I222" t="s">
        <v>97</v>
      </c>
      <c r="L222" t="s">
        <v>68</v>
      </c>
      <c r="M222" t="s">
        <v>69</v>
      </c>
      <c r="N222" s="3">
        <v>45911</v>
      </c>
      <c r="O222">
        <v>544.57000000000005</v>
      </c>
      <c r="P222" t="s">
        <v>56</v>
      </c>
      <c r="Q222" t="s">
        <v>80</v>
      </c>
      <c r="R222" t="s">
        <v>97</v>
      </c>
      <c r="U222" t="s">
        <v>63</v>
      </c>
      <c r="V222" t="b">
        <v>1</v>
      </c>
      <c r="W222">
        <v>0</v>
      </c>
      <c r="X222">
        <v>0</v>
      </c>
      <c r="Y222" t="s">
        <v>14</v>
      </c>
    </row>
    <row r="223" spans="1:25">
      <c r="A223" t="s">
        <v>329</v>
      </c>
      <c r="B223" t="s">
        <v>329</v>
      </c>
      <c r="C223" t="s">
        <v>92</v>
      </c>
      <c r="D223" t="s">
        <v>93</v>
      </c>
      <c r="E223" s="3">
        <v>45914</v>
      </c>
      <c r="F223">
        <v>935.09</v>
      </c>
      <c r="G223" t="s">
        <v>56</v>
      </c>
      <c r="H223" t="s">
        <v>73</v>
      </c>
      <c r="I223" t="s">
        <v>58</v>
      </c>
      <c r="J223" t="s">
        <v>81</v>
      </c>
      <c r="K223" t="s">
        <v>78</v>
      </c>
      <c r="L223" t="s">
        <v>125</v>
      </c>
      <c r="M223" t="s">
        <v>126</v>
      </c>
      <c r="N223" s="3">
        <v>45913</v>
      </c>
      <c r="O223">
        <v>945.43</v>
      </c>
      <c r="P223" t="s">
        <v>56</v>
      </c>
      <c r="Q223" t="s">
        <v>73</v>
      </c>
      <c r="R223" t="s">
        <v>58</v>
      </c>
      <c r="S223" t="s">
        <v>81</v>
      </c>
      <c r="T223" t="s">
        <v>78</v>
      </c>
      <c r="U223" t="s">
        <v>92</v>
      </c>
      <c r="V223" t="b">
        <v>1</v>
      </c>
      <c r="W223">
        <v>-10.34</v>
      </c>
      <c r="X223">
        <v>1</v>
      </c>
      <c r="Y223" t="s">
        <v>17</v>
      </c>
    </row>
    <row r="224" spans="1:25">
      <c r="A224" t="s">
        <v>330</v>
      </c>
      <c r="B224" t="s">
        <v>330</v>
      </c>
      <c r="C224" t="s">
        <v>87</v>
      </c>
      <c r="D224" t="s">
        <v>88</v>
      </c>
      <c r="E224" s="3">
        <v>45864</v>
      </c>
      <c r="F224">
        <v>-445.13</v>
      </c>
      <c r="G224" t="s">
        <v>56</v>
      </c>
      <c r="H224" t="s">
        <v>57</v>
      </c>
      <c r="I224" t="s">
        <v>103</v>
      </c>
      <c r="J224" t="s">
        <v>117</v>
      </c>
      <c r="K224" t="s">
        <v>107</v>
      </c>
      <c r="L224" t="s">
        <v>89</v>
      </c>
      <c r="M224" t="s">
        <v>90</v>
      </c>
      <c r="N224" s="3">
        <v>45864</v>
      </c>
      <c r="O224">
        <v>-445.13</v>
      </c>
      <c r="P224" t="s">
        <v>56</v>
      </c>
      <c r="Q224" t="s">
        <v>57</v>
      </c>
      <c r="R224" t="s">
        <v>103</v>
      </c>
      <c r="S224" t="s">
        <v>117</v>
      </c>
      <c r="T224" t="s">
        <v>107</v>
      </c>
      <c r="U224" t="s">
        <v>87</v>
      </c>
      <c r="V224" t="b">
        <v>1</v>
      </c>
      <c r="W224">
        <v>0</v>
      </c>
      <c r="X224">
        <v>0</v>
      </c>
      <c r="Y224" t="s">
        <v>14</v>
      </c>
    </row>
    <row r="225" spans="1:25">
      <c r="A225" t="s">
        <v>331</v>
      </c>
      <c r="B225" t="s">
        <v>331</v>
      </c>
      <c r="C225" t="s">
        <v>150</v>
      </c>
      <c r="D225" t="s">
        <v>151</v>
      </c>
      <c r="E225" s="3">
        <v>45863</v>
      </c>
      <c r="F225">
        <v>443.19</v>
      </c>
      <c r="G225" t="s">
        <v>56</v>
      </c>
      <c r="H225" t="s">
        <v>65</v>
      </c>
      <c r="I225" t="s">
        <v>103</v>
      </c>
      <c r="J225" t="s">
        <v>99</v>
      </c>
      <c r="K225" t="s">
        <v>138</v>
      </c>
      <c r="L225" t="s">
        <v>152</v>
      </c>
      <c r="M225" t="s">
        <v>153</v>
      </c>
      <c r="N225" s="3">
        <v>45863</v>
      </c>
      <c r="O225">
        <v>443.19</v>
      </c>
      <c r="P225" t="s">
        <v>56</v>
      </c>
      <c r="Q225" t="s">
        <v>65</v>
      </c>
      <c r="R225" t="s">
        <v>103</v>
      </c>
      <c r="S225" t="s">
        <v>99</v>
      </c>
      <c r="T225" t="s">
        <v>138</v>
      </c>
      <c r="U225" t="s">
        <v>150</v>
      </c>
      <c r="V225" t="b">
        <v>1</v>
      </c>
      <c r="W225">
        <v>0</v>
      </c>
      <c r="X225">
        <v>0</v>
      </c>
      <c r="Y225" t="s">
        <v>14</v>
      </c>
    </row>
    <row r="226" spans="1:25">
      <c r="A226" t="s">
        <v>332</v>
      </c>
      <c r="B226" t="s">
        <v>332</v>
      </c>
      <c r="C226" t="s">
        <v>71</v>
      </c>
      <c r="D226" t="s">
        <v>72</v>
      </c>
      <c r="E226" s="3">
        <v>45873</v>
      </c>
      <c r="F226">
        <v>-239.97</v>
      </c>
      <c r="G226" t="s">
        <v>56</v>
      </c>
      <c r="H226" t="s">
        <v>80</v>
      </c>
      <c r="I226" t="s">
        <v>103</v>
      </c>
      <c r="J226" t="s">
        <v>66</v>
      </c>
      <c r="K226" t="s">
        <v>105</v>
      </c>
      <c r="L226" t="s">
        <v>74</v>
      </c>
      <c r="M226" t="s">
        <v>75</v>
      </c>
      <c r="N226" s="3">
        <v>45873</v>
      </c>
      <c r="O226">
        <v>-239.97</v>
      </c>
      <c r="P226" t="s">
        <v>56</v>
      </c>
      <c r="Q226" t="s">
        <v>80</v>
      </c>
      <c r="R226" t="s">
        <v>103</v>
      </c>
      <c r="S226" t="s">
        <v>66</v>
      </c>
      <c r="T226" t="s">
        <v>105</v>
      </c>
      <c r="U226" t="s">
        <v>71</v>
      </c>
      <c r="V226" t="b">
        <v>1</v>
      </c>
      <c r="W226">
        <v>0</v>
      </c>
      <c r="X226">
        <v>0</v>
      </c>
      <c r="Y226" t="s">
        <v>14</v>
      </c>
    </row>
    <row r="227" spans="1:25">
      <c r="A227" t="s">
        <v>333</v>
      </c>
      <c r="B227" t="s">
        <v>333</v>
      </c>
      <c r="C227" t="s">
        <v>54</v>
      </c>
      <c r="D227" t="s">
        <v>55</v>
      </c>
      <c r="E227" s="3">
        <v>45915</v>
      </c>
      <c r="F227">
        <v>-505.69</v>
      </c>
      <c r="G227" t="s">
        <v>56</v>
      </c>
      <c r="H227" t="s">
        <v>73</v>
      </c>
      <c r="I227" t="s">
        <v>103</v>
      </c>
      <c r="J227" t="s">
        <v>85</v>
      </c>
      <c r="K227" t="s">
        <v>105</v>
      </c>
      <c r="L227" t="s">
        <v>60</v>
      </c>
      <c r="M227" t="s">
        <v>61</v>
      </c>
      <c r="N227" s="3">
        <v>45915</v>
      </c>
      <c r="O227">
        <v>-505.69</v>
      </c>
      <c r="P227" t="s">
        <v>56</v>
      </c>
      <c r="Q227" t="s">
        <v>73</v>
      </c>
      <c r="R227" t="s">
        <v>103</v>
      </c>
      <c r="S227" t="s">
        <v>85</v>
      </c>
      <c r="T227" t="s">
        <v>105</v>
      </c>
      <c r="U227" t="s">
        <v>54</v>
      </c>
      <c r="V227" t="b">
        <v>1</v>
      </c>
      <c r="W227">
        <v>0</v>
      </c>
      <c r="X227">
        <v>0</v>
      </c>
      <c r="Y227" t="s">
        <v>14</v>
      </c>
    </row>
    <row r="228" spans="1:25">
      <c r="A228" t="s">
        <v>334</v>
      </c>
      <c r="B228" t="s">
        <v>334</v>
      </c>
      <c r="C228" t="s">
        <v>63</v>
      </c>
      <c r="D228" t="s">
        <v>64</v>
      </c>
      <c r="E228" s="3">
        <v>45907</v>
      </c>
      <c r="F228">
        <v>670.71</v>
      </c>
      <c r="G228" t="s">
        <v>56</v>
      </c>
      <c r="H228" t="s">
        <v>73</v>
      </c>
      <c r="I228" t="s">
        <v>58</v>
      </c>
      <c r="J228" t="s">
        <v>99</v>
      </c>
      <c r="K228" t="s">
        <v>67</v>
      </c>
      <c r="L228" t="s">
        <v>82</v>
      </c>
      <c r="M228" t="s">
        <v>83</v>
      </c>
      <c r="N228" s="3">
        <v>45905</v>
      </c>
      <c r="O228">
        <v>672.32</v>
      </c>
      <c r="P228" t="s">
        <v>56</v>
      </c>
      <c r="Q228" t="s">
        <v>73</v>
      </c>
      <c r="R228" t="s">
        <v>58</v>
      </c>
      <c r="S228" t="s">
        <v>99</v>
      </c>
      <c r="T228" t="s">
        <v>67</v>
      </c>
      <c r="U228" t="s">
        <v>63</v>
      </c>
      <c r="V228" t="b">
        <v>1</v>
      </c>
      <c r="W228">
        <v>-1.61</v>
      </c>
      <c r="X228">
        <v>2</v>
      </c>
      <c r="Y228" t="s">
        <v>17</v>
      </c>
    </row>
    <row r="229" spans="1:25">
      <c r="A229" t="s">
        <v>335</v>
      </c>
      <c r="B229" t="s">
        <v>335</v>
      </c>
      <c r="C229" t="s">
        <v>63</v>
      </c>
      <c r="D229" t="s">
        <v>64</v>
      </c>
      <c r="E229" s="3">
        <v>45891</v>
      </c>
      <c r="F229">
        <v>314.93</v>
      </c>
      <c r="G229" t="s">
        <v>56</v>
      </c>
      <c r="H229" t="s">
        <v>57</v>
      </c>
      <c r="I229" t="s">
        <v>103</v>
      </c>
      <c r="J229" t="s">
        <v>81</v>
      </c>
      <c r="K229" t="s">
        <v>67</v>
      </c>
      <c r="L229" t="s">
        <v>82</v>
      </c>
      <c r="M229" t="s">
        <v>83</v>
      </c>
      <c r="N229" s="3">
        <v>45891</v>
      </c>
      <c r="O229">
        <v>314.93</v>
      </c>
      <c r="P229" t="s">
        <v>56</v>
      </c>
      <c r="Q229" t="s">
        <v>57</v>
      </c>
      <c r="R229" t="s">
        <v>103</v>
      </c>
      <c r="S229" t="s">
        <v>81</v>
      </c>
      <c r="T229" t="s">
        <v>67</v>
      </c>
      <c r="U229" t="s">
        <v>63</v>
      </c>
      <c r="V229" t="b">
        <v>1</v>
      </c>
      <c r="W229">
        <v>0</v>
      </c>
      <c r="X229">
        <v>0</v>
      </c>
      <c r="Y229" t="s">
        <v>14</v>
      </c>
    </row>
    <row r="230" spans="1:25">
      <c r="A230" t="s">
        <v>336</v>
      </c>
      <c r="B230" t="s">
        <v>336</v>
      </c>
      <c r="C230" t="s">
        <v>63</v>
      </c>
      <c r="D230" t="s">
        <v>64</v>
      </c>
      <c r="E230" s="3">
        <v>45890</v>
      </c>
      <c r="F230">
        <v>-487.58</v>
      </c>
      <c r="G230" t="s">
        <v>56</v>
      </c>
      <c r="H230" t="s">
        <v>57</v>
      </c>
      <c r="I230" t="s">
        <v>58</v>
      </c>
      <c r="J230" t="s">
        <v>99</v>
      </c>
      <c r="K230" t="s">
        <v>67</v>
      </c>
      <c r="L230" t="s">
        <v>82</v>
      </c>
      <c r="M230" t="s">
        <v>83</v>
      </c>
      <c r="N230" s="3">
        <v>45890</v>
      </c>
      <c r="O230">
        <v>-487.58</v>
      </c>
      <c r="P230" t="s">
        <v>56</v>
      </c>
      <c r="Q230" t="s">
        <v>57</v>
      </c>
      <c r="R230" t="s">
        <v>58</v>
      </c>
      <c r="S230" t="s">
        <v>99</v>
      </c>
      <c r="T230" t="s">
        <v>67</v>
      </c>
      <c r="U230" t="s">
        <v>63</v>
      </c>
      <c r="V230" t="b">
        <v>1</v>
      </c>
      <c r="W230">
        <v>0</v>
      </c>
      <c r="X230">
        <v>0</v>
      </c>
      <c r="Y230" t="s">
        <v>14</v>
      </c>
    </row>
    <row r="231" spans="1:25">
      <c r="A231" t="s">
        <v>337</v>
      </c>
      <c r="B231" t="s">
        <v>337</v>
      </c>
      <c r="C231" t="s">
        <v>63</v>
      </c>
      <c r="D231" t="s">
        <v>64</v>
      </c>
      <c r="E231" s="3">
        <v>45888</v>
      </c>
      <c r="F231">
        <v>679.64</v>
      </c>
      <c r="G231" t="s">
        <v>56</v>
      </c>
      <c r="H231" t="s">
        <v>65</v>
      </c>
      <c r="I231" t="s">
        <v>77</v>
      </c>
      <c r="J231" t="s">
        <v>85</v>
      </c>
      <c r="K231" t="s">
        <v>138</v>
      </c>
      <c r="L231" t="s">
        <v>68</v>
      </c>
      <c r="M231" t="s">
        <v>69</v>
      </c>
      <c r="N231" s="3">
        <v>45888</v>
      </c>
      <c r="O231">
        <v>679.64</v>
      </c>
      <c r="P231" t="s">
        <v>56</v>
      </c>
      <c r="Q231" t="s">
        <v>65</v>
      </c>
      <c r="R231" t="s">
        <v>77</v>
      </c>
      <c r="S231" t="s">
        <v>85</v>
      </c>
      <c r="T231" t="s">
        <v>138</v>
      </c>
      <c r="U231" t="s">
        <v>63</v>
      </c>
      <c r="V231" t="b">
        <v>1</v>
      </c>
      <c r="W231">
        <v>0</v>
      </c>
      <c r="X231">
        <v>0</v>
      </c>
      <c r="Y231" t="s">
        <v>14</v>
      </c>
    </row>
    <row r="232" spans="1:25">
      <c r="A232" t="s">
        <v>338</v>
      </c>
      <c r="B232" t="s">
        <v>338</v>
      </c>
      <c r="C232" t="s">
        <v>92</v>
      </c>
      <c r="D232" t="s">
        <v>93</v>
      </c>
      <c r="E232" s="3">
        <v>45873</v>
      </c>
      <c r="F232">
        <v>468.27</v>
      </c>
      <c r="G232" t="s">
        <v>56</v>
      </c>
      <c r="H232" t="s">
        <v>65</v>
      </c>
      <c r="I232" t="s">
        <v>103</v>
      </c>
      <c r="K232" t="s">
        <v>78</v>
      </c>
      <c r="L232" t="s">
        <v>125</v>
      </c>
      <c r="M232" t="s">
        <v>126</v>
      </c>
      <c r="N232" s="3">
        <v>45873</v>
      </c>
      <c r="O232">
        <v>468.27</v>
      </c>
      <c r="P232" t="s">
        <v>56</v>
      </c>
      <c r="Q232" t="s">
        <v>65</v>
      </c>
      <c r="R232" t="s">
        <v>103</v>
      </c>
      <c r="T232" t="s">
        <v>78</v>
      </c>
      <c r="U232" t="s">
        <v>92</v>
      </c>
      <c r="V232" t="b">
        <v>1</v>
      </c>
      <c r="W232">
        <v>0</v>
      </c>
      <c r="X232">
        <v>0</v>
      </c>
      <c r="Y232" t="s">
        <v>14</v>
      </c>
    </row>
    <row r="233" spans="1:25">
      <c r="A233" t="s">
        <v>339</v>
      </c>
      <c r="B233" t="s">
        <v>339</v>
      </c>
      <c r="C233" t="s">
        <v>87</v>
      </c>
      <c r="D233" t="s">
        <v>88</v>
      </c>
      <c r="E233" s="3">
        <v>45888</v>
      </c>
      <c r="F233">
        <v>-370.22</v>
      </c>
      <c r="G233" t="s">
        <v>56</v>
      </c>
      <c r="H233" t="s">
        <v>57</v>
      </c>
      <c r="I233" t="s">
        <v>77</v>
      </c>
      <c r="K233" t="s">
        <v>105</v>
      </c>
      <c r="L233" t="s">
        <v>89</v>
      </c>
      <c r="M233" t="s">
        <v>90</v>
      </c>
      <c r="N233" s="3">
        <v>45888</v>
      </c>
      <c r="O233">
        <v>-370.22</v>
      </c>
      <c r="P233" t="s">
        <v>56</v>
      </c>
      <c r="Q233" t="s">
        <v>57</v>
      </c>
      <c r="R233" t="s">
        <v>77</v>
      </c>
      <c r="T233" t="s">
        <v>105</v>
      </c>
      <c r="U233" t="s">
        <v>87</v>
      </c>
      <c r="V233" t="b">
        <v>1</v>
      </c>
      <c r="W233">
        <v>0</v>
      </c>
      <c r="X233">
        <v>0</v>
      </c>
      <c r="Y233" t="s">
        <v>14</v>
      </c>
    </row>
    <row r="234" spans="1:25">
      <c r="A234" t="s">
        <v>340</v>
      </c>
      <c r="B234" t="s">
        <v>340</v>
      </c>
      <c r="C234" t="s">
        <v>92</v>
      </c>
      <c r="D234" t="s">
        <v>93</v>
      </c>
      <c r="E234" s="3">
        <v>45907</v>
      </c>
      <c r="F234">
        <v>-743.27</v>
      </c>
      <c r="G234" t="s">
        <v>56</v>
      </c>
      <c r="H234" t="s">
        <v>80</v>
      </c>
      <c r="I234" t="s">
        <v>103</v>
      </c>
      <c r="J234" t="s">
        <v>66</v>
      </c>
      <c r="K234" t="s">
        <v>67</v>
      </c>
      <c r="L234" t="s">
        <v>125</v>
      </c>
      <c r="M234" t="s">
        <v>126</v>
      </c>
      <c r="N234" s="3">
        <v>45907</v>
      </c>
      <c r="O234">
        <v>-743.27</v>
      </c>
      <c r="P234" t="s">
        <v>56</v>
      </c>
      <c r="Q234" t="s">
        <v>80</v>
      </c>
      <c r="R234" t="s">
        <v>103</v>
      </c>
      <c r="S234" t="s">
        <v>66</v>
      </c>
      <c r="T234" t="s">
        <v>67</v>
      </c>
      <c r="U234" t="s">
        <v>92</v>
      </c>
      <c r="V234" t="b">
        <v>1</v>
      </c>
      <c r="W234">
        <v>0</v>
      </c>
      <c r="X234">
        <v>0</v>
      </c>
      <c r="Y234" t="s">
        <v>14</v>
      </c>
    </row>
    <row r="235" spans="1:25">
      <c r="A235" t="s">
        <v>341</v>
      </c>
      <c r="B235" t="s">
        <v>341</v>
      </c>
      <c r="C235" t="s">
        <v>71</v>
      </c>
      <c r="D235" t="s">
        <v>72</v>
      </c>
      <c r="E235" s="3">
        <v>45914</v>
      </c>
      <c r="F235">
        <v>524.25</v>
      </c>
      <c r="G235" t="s">
        <v>56</v>
      </c>
      <c r="H235" t="s">
        <v>57</v>
      </c>
      <c r="I235" t="s">
        <v>77</v>
      </c>
      <c r="J235" t="s">
        <v>109</v>
      </c>
      <c r="K235" t="s">
        <v>107</v>
      </c>
      <c r="L235" t="s">
        <v>74</v>
      </c>
      <c r="M235" t="s">
        <v>75</v>
      </c>
      <c r="N235" s="3">
        <v>45914</v>
      </c>
      <c r="O235">
        <v>524.25</v>
      </c>
      <c r="P235" t="s">
        <v>56</v>
      </c>
      <c r="Q235" t="s">
        <v>57</v>
      </c>
      <c r="R235" t="s">
        <v>77</v>
      </c>
      <c r="S235" t="s">
        <v>109</v>
      </c>
      <c r="T235" t="s">
        <v>107</v>
      </c>
      <c r="U235" t="s">
        <v>71</v>
      </c>
      <c r="V235" t="b">
        <v>1</v>
      </c>
      <c r="W235">
        <v>0</v>
      </c>
      <c r="X235">
        <v>0</v>
      </c>
      <c r="Y235" t="s">
        <v>14</v>
      </c>
    </row>
    <row r="236" spans="1:25">
      <c r="A236" t="s">
        <v>342</v>
      </c>
      <c r="B236" t="s">
        <v>342</v>
      </c>
      <c r="C236" t="s">
        <v>54</v>
      </c>
      <c r="D236" t="s">
        <v>55</v>
      </c>
      <c r="E236" s="3">
        <v>45870</v>
      </c>
      <c r="F236">
        <v>-599.14</v>
      </c>
      <c r="G236" t="s">
        <v>56</v>
      </c>
      <c r="H236" t="s">
        <v>73</v>
      </c>
      <c r="I236" t="s">
        <v>97</v>
      </c>
      <c r="J236" t="s">
        <v>117</v>
      </c>
      <c r="K236" t="s">
        <v>105</v>
      </c>
      <c r="L236" t="s">
        <v>60</v>
      </c>
      <c r="M236" t="s">
        <v>61</v>
      </c>
      <c r="N236" s="3">
        <v>45869</v>
      </c>
      <c r="O236">
        <v>-599.07000000000005</v>
      </c>
      <c r="P236" t="s">
        <v>56</v>
      </c>
      <c r="Q236" t="s">
        <v>73</v>
      </c>
      <c r="R236" t="s">
        <v>97</v>
      </c>
      <c r="S236" t="s">
        <v>117</v>
      </c>
      <c r="T236" t="s">
        <v>105</v>
      </c>
      <c r="U236" t="s">
        <v>54</v>
      </c>
      <c r="V236" t="b">
        <v>1</v>
      </c>
      <c r="W236">
        <v>-7.0000000000000007E-2</v>
      </c>
      <c r="X236">
        <v>1</v>
      </c>
      <c r="Y236" t="s">
        <v>15</v>
      </c>
    </row>
    <row r="237" spans="1:25">
      <c r="A237" t="s">
        <v>343</v>
      </c>
      <c r="B237" t="s">
        <v>343</v>
      </c>
      <c r="C237" t="s">
        <v>87</v>
      </c>
      <c r="D237" t="s">
        <v>88</v>
      </c>
      <c r="E237" s="3">
        <v>45917</v>
      </c>
      <c r="F237">
        <v>792.85</v>
      </c>
      <c r="G237" t="s">
        <v>56</v>
      </c>
      <c r="H237" t="s">
        <v>57</v>
      </c>
      <c r="I237" t="s">
        <v>103</v>
      </c>
      <c r="J237" t="s">
        <v>85</v>
      </c>
      <c r="K237" t="s">
        <v>138</v>
      </c>
      <c r="L237" t="s">
        <v>89</v>
      </c>
      <c r="M237" t="s">
        <v>90</v>
      </c>
      <c r="N237" s="3">
        <v>45917</v>
      </c>
      <c r="O237">
        <v>792.85</v>
      </c>
      <c r="P237" t="s">
        <v>56</v>
      </c>
      <c r="Q237" t="s">
        <v>57</v>
      </c>
      <c r="R237" t="s">
        <v>103</v>
      </c>
      <c r="S237" t="s">
        <v>85</v>
      </c>
      <c r="T237" t="s">
        <v>138</v>
      </c>
      <c r="U237" t="s">
        <v>87</v>
      </c>
      <c r="V237" t="b">
        <v>1</v>
      </c>
      <c r="W237">
        <v>0</v>
      </c>
      <c r="X237">
        <v>0</v>
      </c>
      <c r="Y237" t="s">
        <v>14</v>
      </c>
    </row>
    <row r="238" spans="1:25">
      <c r="A238" t="s">
        <v>344</v>
      </c>
      <c r="B238" t="s">
        <v>344</v>
      </c>
      <c r="C238" t="s">
        <v>92</v>
      </c>
      <c r="D238" t="s">
        <v>93</v>
      </c>
      <c r="E238" s="3">
        <v>45866</v>
      </c>
      <c r="F238">
        <v>786.33</v>
      </c>
      <c r="G238" t="s">
        <v>56</v>
      </c>
      <c r="H238" t="s">
        <v>73</v>
      </c>
      <c r="I238" t="s">
        <v>103</v>
      </c>
      <c r="J238" t="s">
        <v>81</v>
      </c>
      <c r="K238" t="s">
        <v>67</v>
      </c>
      <c r="L238" t="s">
        <v>125</v>
      </c>
      <c r="M238" t="s">
        <v>126</v>
      </c>
      <c r="N238" s="3">
        <v>45866</v>
      </c>
      <c r="O238">
        <v>786.33</v>
      </c>
      <c r="P238" t="s">
        <v>56</v>
      </c>
      <c r="Q238" t="s">
        <v>73</v>
      </c>
      <c r="R238" t="s">
        <v>103</v>
      </c>
      <c r="S238" t="s">
        <v>81</v>
      </c>
      <c r="T238" t="s">
        <v>67</v>
      </c>
      <c r="U238" t="s">
        <v>92</v>
      </c>
      <c r="V238" t="b">
        <v>1</v>
      </c>
      <c r="W238">
        <v>0</v>
      </c>
      <c r="X238">
        <v>0</v>
      </c>
      <c r="Y238" t="s">
        <v>14</v>
      </c>
    </row>
    <row r="239" spans="1:25">
      <c r="A239" t="s">
        <v>345</v>
      </c>
      <c r="B239" t="s">
        <v>345</v>
      </c>
      <c r="C239" t="s">
        <v>92</v>
      </c>
      <c r="D239" t="s">
        <v>93</v>
      </c>
      <c r="E239" s="3">
        <v>45901</v>
      </c>
      <c r="F239">
        <v>413.2</v>
      </c>
      <c r="G239" t="s">
        <v>56</v>
      </c>
      <c r="H239" t="s">
        <v>65</v>
      </c>
      <c r="I239" t="s">
        <v>97</v>
      </c>
      <c r="J239" t="s">
        <v>99</v>
      </c>
      <c r="K239" t="s">
        <v>67</v>
      </c>
      <c r="L239" t="s">
        <v>94</v>
      </c>
      <c r="M239" t="s">
        <v>95</v>
      </c>
      <c r="N239" s="3">
        <v>45901</v>
      </c>
      <c r="O239">
        <v>413.2</v>
      </c>
      <c r="P239" t="s">
        <v>56</v>
      </c>
      <c r="Q239" t="s">
        <v>65</v>
      </c>
      <c r="R239" t="s">
        <v>97</v>
      </c>
      <c r="S239" t="s">
        <v>99</v>
      </c>
      <c r="T239" t="s">
        <v>67</v>
      </c>
      <c r="U239" t="s">
        <v>92</v>
      </c>
      <c r="V239" t="b">
        <v>1</v>
      </c>
      <c r="W239">
        <v>0</v>
      </c>
      <c r="X239">
        <v>0</v>
      </c>
      <c r="Y239" t="s">
        <v>14</v>
      </c>
    </row>
    <row r="240" spans="1:25">
      <c r="A240" t="s">
        <v>346</v>
      </c>
      <c r="B240" t="s">
        <v>346</v>
      </c>
      <c r="C240" t="s">
        <v>87</v>
      </c>
      <c r="D240" t="s">
        <v>88</v>
      </c>
      <c r="E240" s="3">
        <v>45889</v>
      </c>
      <c r="F240">
        <v>-368.64</v>
      </c>
      <c r="G240" t="s">
        <v>56</v>
      </c>
      <c r="H240" t="s">
        <v>80</v>
      </c>
      <c r="I240" t="s">
        <v>97</v>
      </c>
      <c r="J240" t="s">
        <v>109</v>
      </c>
      <c r="K240" t="s">
        <v>78</v>
      </c>
      <c r="L240" t="s">
        <v>89</v>
      </c>
      <c r="M240" t="s">
        <v>90</v>
      </c>
      <c r="N240" s="3">
        <v>45889</v>
      </c>
      <c r="O240">
        <v>-368.64</v>
      </c>
      <c r="P240" t="s">
        <v>56</v>
      </c>
      <c r="Q240" t="s">
        <v>80</v>
      </c>
      <c r="R240" t="s">
        <v>97</v>
      </c>
      <c r="S240" t="s">
        <v>109</v>
      </c>
      <c r="T240" t="s">
        <v>78</v>
      </c>
      <c r="U240" t="s">
        <v>87</v>
      </c>
      <c r="V240" t="b">
        <v>1</v>
      </c>
      <c r="W240">
        <v>0</v>
      </c>
      <c r="X240">
        <v>0</v>
      </c>
      <c r="Y240" t="s">
        <v>14</v>
      </c>
    </row>
    <row r="241" spans="1:25">
      <c r="A241" t="s">
        <v>347</v>
      </c>
      <c r="B241" t="s">
        <v>347</v>
      </c>
      <c r="C241" t="s">
        <v>87</v>
      </c>
      <c r="D241" t="s">
        <v>88</v>
      </c>
      <c r="E241" s="3">
        <v>45903</v>
      </c>
      <c r="F241">
        <v>-571.08000000000004</v>
      </c>
      <c r="G241" t="s">
        <v>56</v>
      </c>
      <c r="H241" t="s">
        <v>80</v>
      </c>
      <c r="I241" t="s">
        <v>97</v>
      </c>
      <c r="J241" t="s">
        <v>81</v>
      </c>
      <c r="K241" t="s">
        <v>138</v>
      </c>
      <c r="L241" t="s">
        <v>89</v>
      </c>
      <c r="M241" t="s">
        <v>90</v>
      </c>
      <c r="N241" s="3">
        <v>45903</v>
      </c>
      <c r="O241">
        <v>-571.08000000000004</v>
      </c>
      <c r="P241" t="s">
        <v>56</v>
      </c>
      <c r="Q241" t="s">
        <v>80</v>
      </c>
      <c r="R241" t="s">
        <v>97</v>
      </c>
      <c r="S241" t="s">
        <v>81</v>
      </c>
      <c r="T241" t="s">
        <v>138</v>
      </c>
      <c r="U241" t="s">
        <v>87</v>
      </c>
      <c r="V241" t="b">
        <v>1</v>
      </c>
      <c r="W241">
        <v>0</v>
      </c>
      <c r="X241">
        <v>0</v>
      </c>
      <c r="Y241" t="s">
        <v>14</v>
      </c>
    </row>
    <row r="242" spans="1:25">
      <c r="A242" t="s">
        <v>348</v>
      </c>
      <c r="B242" t="s">
        <v>348</v>
      </c>
      <c r="C242" t="s">
        <v>87</v>
      </c>
      <c r="D242" t="s">
        <v>88</v>
      </c>
      <c r="E242" s="3">
        <v>45873</v>
      </c>
      <c r="F242">
        <v>466.8</v>
      </c>
      <c r="G242" t="s">
        <v>56</v>
      </c>
      <c r="H242" t="s">
        <v>57</v>
      </c>
      <c r="I242" t="s">
        <v>97</v>
      </c>
      <c r="J242" t="s">
        <v>109</v>
      </c>
      <c r="K242" t="s">
        <v>107</v>
      </c>
      <c r="L242" t="s">
        <v>89</v>
      </c>
      <c r="M242" t="s">
        <v>90</v>
      </c>
      <c r="N242" s="3">
        <v>45873</v>
      </c>
      <c r="O242">
        <v>466.8</v>
      </c>
      <c r="P242" t="s">
        <v>56</v>
      </c>
      <c r="Q242" t="s">
        <v>57</v>
      </c>
      <c r="R242" t="s">
        <v>97</v>
      </c>
      <c r="S242" t="s">
        <v>109</v>
      </c>
      <c r="T242" t="s">
        <v>107</v>
      </c>
      <c r="U242" t="s">
        <v>87</v>
      </c>
      <c r="V242" t="b">
        <v>1</v>
      </c>
      <c r="W242">
        <v>0</v>
      </c>
      <c r="X242">
        <v>0</v>
      </c>
      <c r="Y242" t="s">
        <v>14</v>
      </c>
    </row>
    <row r="243" spans="1:25">
      <c r="A243" t="s">
        <v>349</v>
      </c>
      <c r="B243" t="s">
        <v>349</v>
      </c>
      <c r="C243" t="s">
        <v>87</v>
      </c>
      <c r="D243" t="s">
        <v>88</v>
      </c>
      <c r="E243" s="3">
        <v>45881</v>
      </c>
      <c r="F243">
        <v>-25.03</v>
      </c>
      <c r="G243" t="s">
        <v>56</v>
      </c>
      <c r="H243" t="s">
        <v>65</v>
      </c>
      <c r="I243" t="s">
        <v>103</v>
      </c>
      <c r="J243" t="s">
        <v>109</v>
      </c>
      <c r="K243" t="s">
        <v>138</v>
      </c>
      <c r="L243" t="s">
        <v>89</v>
      </c>
      <c r="M243" t="s">
        <v>90</v>
      </c>
      <c r="N243" s="3">
        <v>45880</v>
      </c>
      <c r="O243">
        <v>-23.96</v>
      </c>
      <c r="P243" t="s">
        <v>56</v>
      </c>
      <c r="Q243" t="s">
        <v>65</v>
      </c>
      <c r="R243" t="s">
        <v>103</v>
      </c>
      <c r="S243" t="s">
        <v>109</v>
      </c>
      <c r="T243" t="s">
        <v>138</v>
      </c>
      <c r="U243" t="s">
        <v>87</v>
      </c>
      <c r="V243" t="b">
        <v>1</v>
      </c>
      <c r="W243">
        <v>-1.07</v>
      </c>
      <c r="X243">
        <v>1</v>
      </c>
      <c r="Y243" t="s">
        <v>17</v>
      </c>
    </row>
    <row r="244" spans="1:25">
      <c r="A244" t="s">
        <v>350</v>
      </c>
      <c r="B244" t="s">
        <v>350</v>
      </c>
      <c r="C244" t="s">
        <v>71</v>
      </c>
      <c r="D244" t="s">
        <v>72</v>
      </c>
      <c r="E244" s="3">
        <v>45874</v>
      </c>
      <c r="F244">
        <v>-818.84</v>
      </c>
      <c r="G244" t="s">
        <v>56</v>
      </c>
      <c r="H244" t="s">
        <v>57</v>
      </c>
      <c r="I244" t="s">
        <v>103</v>
      </c>
      <c r="J244" t="s">
        <v>81</v>
      </c>
      <c r="K244" t="s">
        <v>67</v>
      </c>
      <c r="L244" t="s">
        <v>74</v>
      </c>
      <c r="M244" t="s">
        <v>75</v>
      </c>
      <c r="N244" s="3">
        <v>45874</v>
      </c>
      <c r="O244">
        <v>-818.84</v>
      </c>
      <c r="P244" t="s">
        <v>56</v>
      </c>
      <c r="Q244" t="s">
        <v>57</v>
      </c>
      <c r="R244" t="s">
        <v>103</v>
      </c>
      <c r="S244" t="s">
        <v>81</v>
      </c>
      <c r="T244" t="s">
        <v>67</v>
      </c>
      <c r="U244" t="s">
        <v>71</v>
      </c>
      <c r="V244" t="b">
        <v>1</v>
      </c>
      <c r="W244">
        <v>0</v>
      </c>
      <c r="X244">
        <v>0</v>
      </c>
      <c r="Y244" t="s">
        <v>14</v>
      </c>
    </row>
    <row r="245" spans="1:25">
      <c r="A245" t="s">
        <v>351</v>
      </c>
      <c r="B245" t="s">
        <v>351</v>
      </c>
      <c r="C245" t="s">
        <v>92</v>
      </c>
      <c r="D245" t="s">
        <v>93</v>
      </c>
      <c r="E245" s="3">
        <v>45859</v>
      </c>
      <c r="F245">
        <v>-504.84</v>
      </c>
      <c r="G245" t="s">
        <v>56</v>
      </c>
      <c r="H245" t="s">
        <v>73</v>
      </c>
      <c r="I245" t="s">
        <v>97</v>
      </c>
      <c r="J245" t="s">
        <v>85</v>
      </c>
      <c r="K245" t="s">
        <v>105</v>
      </c>
      <c r="L245" t="s">
        <v>94</v>
      </c>
      <c r="M245" t="s">
        <v>95</v>
      </c>
      <c r="N245" s="3">
        <v>45859</v>
      </c>
      <c r="O245">
        <v>-504.84</v>
      </c>
      <c r="P245" t="s">
        <v>56</v>
      </c>
      <c r="Q245" t="s">
        <v>73</v>
      </c>
      <c r="R245" t="s">
        <v>97</v>
      </c>
      <c r="S245" t="s">
        <v>85</v>
      </c>
      <c r="T245" t="s">
        <v>105</v>
      </c>
      <c r="U245" t="s">
        <v>92</v>
      </c>
      <c r="V245" t="b">
        <v>1</v>
      </c>
      <c r="W245">
        <v>0</v>
      </c>
      <c r="X245">
        <v>0</v>
      </c>
      <c r="Y245" t="s">
        <v>14</v>
      </c>
    </row>
    <row r="246" spans="1:25">
      <c r="A246" t="s">
        <v>352</v>
      </c>
      <c r="B246" t="s">
        <v>352</v>
      </c>
      <c r="C246" t="s">
        <v>87</v>
      </c>
      <c r="D246" t="s">
        <v>88</v>
      </c>
      <c r="E246" s="3">
        <v>45886</v>
      </c>
      <c r="F246">
        <v>-684.09</v>
      </c>
      <c r="G246" t="s">
        <v>56</v>
      </c>
      <c r="H246" t="s">
        <v>80</v>
      </c>
      <c r="I246" t="s">
        <v>77</v>
      </c>
      <c r="J246" t="s">
        <v>66</v>
      </c>
      <c r="K246" t="s">
        <v>105</v>
      </c>
      <c r="L246" t="s">
        <v>100</v>
      </c>
      <c r="M246" t="s">
        <v>101</v>
      </c>
      <c r="N246" s="3">
        <v>45886</v>
      </c>
      <c r="O246">
        <v>-684.09</v>
      </c>
      <c r="P246" t="s">
        <v>56</v>
      </c>
      <c r="Q246" t="s">
        <v>80</v>
      </c>
      <c r="R246" t="s">
        <v>77</v>
      </c>
      <c r="S246" t="s">
        <v>66</v>
      </c>
      <c r="T246" t="s">
        <v>105</v>
      </c>
      <c r="U246" t="s">
        <v>87</v>
      </c>
      <c r="V246" t="b">
        <v>1</v>
      </c>
      <c r="W246">
        <v>0</v>
      </c>
      <c r="X246">
        <v>0</v>
      </c>
      <c r="Y246" t="s">
        <v>14</v>
      </c>
    </row>
    <row r="247" spans="1:25">
      <c r="A247" t="s">
        <v>353</v>
      </c>
      <c r="B247" t="s">
        <v>353</v>
      </c>
      <c r="C247" t="s">
        <v>87</v>
      </c>
      <c r="D247" t="s">
        <v>88</v>
      </c>
      <c r="E247" s="3">
        <v>45915</v>
      </c>
      <c r="F247">
        <v>206.77</v>
      </c>
      <c r="G247" t="s">
        <v>56</v>
      </c>
      <c r="H247" t="s">
        <v>73</v>
      </c>
      <c r="I247" t="s">
        <v>97</v>
      </c>
      <c r="J247" t="s">
        <v>109</v>
      </c>
      <c r="K247" t="s">
        <v>105</v>
      </c>
      <c r="L247" t="s">
        <v>89</v>
      </c>
      <c r="M247" t="s">
        <v>90</v>
      </c>
      <c r="N247" s="3">
        <v>45915</v>
      </c>
      <c r="O247">
        <v>206.77</v>
      </c>
      <c r="P247" t="s">
        <v>56</v>
      </c>
      <c r="Q247" t="s">
        <v>73</v>
      </c>
      <c r="R247" t="s">
        <v>97</v>
      </c>
      <c r="S247" t="s">
        <v>109</v>
      </c>
      <c r="T247" t="s">
        <v>105</v>
      </c>
      <c r="U247" t="s">
        <v>87</v>
      </c>
      <c r="V247" t="b">
        <v>1</v>
      </c>
      <c r="W247">
        <v>0</v>
      </c>
      <c r="X247">
        <v>0</v>
      </c>
      <c r="Y247" t="s">
        <v>14</v>
      </c>
    </row>
    <row r="248" spans="1:25">
      <c r="A248" t="s">
        <v>354</v>
      </c>
      <c r="B248" t="s">
        <v>354</v>
      </c>
      <c r="C248" t="s">
        <v>119</v>
      </c>
      <c r="D248" t="s">
        <v>120</v>
      </c>
      <c r="E248" s="3">
        <v>45911</v>
      </c>
      <c r="F248">
        <v>-822.05</v>
      </c>
      <c r="G248" t="s">
        <v>56</v>
      </c>
      <c r="H248" t="s">
        <v>65</v>
      </c>
      <c r="I248" t="s">
        <v>58</v>
      </c>
      <c r="J248" t="s">
        <v>117</v>
      </c>
      <c r="K248" t="s">
        <v>67</v>
      </c>
      <c r="L248" t="s">
        <v>121</v>
      </c>
      <c r="M248" t="s">
        <v>122</v>
      </c>
      <c r="N248" s="3">
        <v>45911</v>
      </c>
      <c r="O248">
        <v>-822.06</v>
      </c>
      <c r="P248" t="s">
        <v>56</v>
      </c>
      <c r="Q248" t="s">
        <v>65</v>
      </c>
      <c r="R248" t="s">
        <v>58</v>
      </c>
      <c r="S248" t="s">
        <v>117</v>
      </c>
      <c r="T248" t="s">
        <v>67</v>
      </c>
      <c r="U248" t="s">
        <v>119</v>
      </c>
      <c r="V248" t="b">
        <v>1</v>
      </c>
      <c r="W248">
        <v>0.01</v>
      </c>
      <c r="X248">
        <v>0</v>
      </c>
      <c r="Y248" t="s">
        <v>15</v>
      </c>
    </row>
    <row r="249" spans="1:25">
      <c r="A249" t="s">
        <v>355</v>
      </c>
      <c r="B249" t="s">
        <v>355</v>
      </c>
      <c r="C249" t="s">
        <v>54</v>
      </c>
      <c r="D249" t="s">
        <v>55</v>
      </c>
      <c r="E249" s="3">
        <v>45873</v>
      </c>
      <c r="F249">
        <v>352.93</v>
      </c>
      <c r="G249" t="s">
        <v>56</v>
      </c>
      <c r="H249" t="s">
        <v>57</v>
      </c>
      <c r="I249" t="s">
        <v>77</v>
      </c>
      <c r="J249" t="s">
        <v>81</v>
      </c>
      <c r="L249" t="s">
        <v>60</v>
      </c>
      <c r="M249" t="s">
        <v>61</v>
      </c>
      <c r="N249" s="3">
        <v>45873</v>
      </c>
      <c r="O249">
        <v>352.93</v>
      </c>
      <c r="P249" t="s">
        <v>56</v>
      </c>
      <c r="Q249" t="s">
        <v>57</v>
      </c>
      <c r="R249" t="s">
        <v>77</v>
      </c>
      <c r="S249" t="s">
        <v>81</v>
      </c>
      <c r="U249" t="s">
        <v>54</v>
      </c>
      <c r="V249" t="b">
        <v>1</v>
      </c>
      <c r="W249">
        <v>0</v>
      </c>
      <c r="X249">
        <v>0</v>
      </c>
      <c r="Y249" t="s">
        <v>14</v>
      </c>
    </row>
    <row r="250" spans="1:25">
      <c r="A250" t="s">
        <v>356</v>
      </c>
      <c r="B250" t="s">
        <v>356</v>
      </c>
      <c r="C250" t="s">
        <v>71</v>
      </c>
      <c r="D250" t="s">
        <v>72</v>
      </c>
      <c r="E250" s="3">
        <v>45902</v>
      </c>
      <c r="F250">
        <v>473.08</v>
      </c>
      <c r="G250" t="s">
        <v>56</v>
      </c>
      <c r="H250" t="s">
        <v>65</v>
      </c>
      <c r="I250" t="s">
        <v>103</v>
      </c>
      <c r="K250" t="s">
        <v>67</v>
      </c>
      <c r="L250" t="s">
        <v>74</v>
      </c>
      <c r="M250" t="s">
        <v>75</v>
      </c>
      <c r="N250" s="3">
        <v>45902</v>
      </c>
      <c r="O250">
        <v>473.08</v>
      </c>
      <c r="P250" t="s">
        <v>56</v>
      </c>
      <c r="Q250" t="s">
        <v>65</v>
      </c>
      <c r="R250" t="s">
        <v>103</v>
      </c>
      <c r="T250" t="s">
        <v>67</v>
      </c>
      <c r="U250" t="s">
        <v>71</v>
      </c>
      <c r="V250" t="b">
        <v>1</v>
      </c>
      <c r="W250">
        <v>0</v>
      </c>
      <c r="X250">
        <v>0</v>
      </c>
      <c r="Y250" t="s">
        <v>14</v>
      </c>
    </row>
    <row r="251" spans="1:25">
      <c r="A251" t="s">
        <v>357</v>
      </c>
      <c r="B251" t="s">
        <v>357</v>
      </c>
      <c r="C251" t="s">
        <v>92</v>
      </c>
      <c r="D251" t="s">
        <v>93</v>
      </c>
      <c r="E251" s="3">
        <v>45886</v>
      </c>
      <c r="F251">
        <v>-149.63999999999999</v>
      </c>
      <c r="G251" t="s">
        <v>56</v>
      </c>
      <c r="H251" t="s">
        <v>73</v>
      </c>
      <c r="I251" t="s">
        <v>97</v>
      </c>
      <c r="J251" t="s">
        <v>109</v>
      </c>
      <c r="K251" t="s">
        <v>138</v>
      </c>
      <c r="L251" t="s">
        <v>94</v>
      </c>
      <c r="M251" t="s">
        <v>95</v>
      </c>
      <c r="N251" s="3">
        <v>45886</v>
      </c>
      <c r="O251">
        <v>-149.63999999999999</v>
      </c>
      <c r="P251" t="s">
        <v>56</v>
      </c>
      <c r="Q251" t="s">
        <v>73</v>
      </c>
      <c r="R251" t="s">
        <v>97</v>
      </c>
      <c r="S251" t="s">
        <v>109</v>
      </c>
      <c r="T251" t="s">
        <v>138</v>
      </c>
      <c r="U251" t="s">
        <v>92</v>
      </c>
      <c r="V251" t="b">
        <v>1</v>
      </c>
      <c r="W251">
        <v>0</v>
      </c>
      <c r="X251">
        <v>0</v>
      </c>
      <c r="Y251" t="s">
        <v>14</v>
      </c>
    </row>
    <row r="252" spans="1:25">
      <c r="A252" t="s">
        <v>358</v>
      </c>
      <c r="B252" t="s">
        <v>358</v>
      </c>
      <c r="C252" t="s">
        <v>63</v>
      </c>
      <c r="D252" t="s">
        <v>64</v>
      </c>
      <c r="E252" s="3">
        <v>45881</v>
      </c>
      <c r="F252">
        <v>458.26</v>
      </c>
      <c r="G252" t="s">
        <v>56</v>
      </c>
      <c r="H252" t="s">
        <v>57</v>
      </c>
      <c r="I252" t="s">
        <v>58</v>
      </c>
      <c r="J252" t="s">
        <v>99</v>
      </c>
      <c r="K252" t="s">
        <v>59</v>
      </c>
      <c r="L252" t="s">
        <v>82</v>
      </c>
      <c r="M252" t="s">
        <v>83</v>
      </c>
      <c r="N252" s="3">
        <v>45879</v>
      </c>
      <c r="O252">
        <v>461.5</v>
      </c>
      <c r="P252" t="s">
        <v>56</v>
      </c>
      <c r="Q252" t="s">
        <v>57</v>
      </c>
      <c r="R252" t="s">
        <v>58</v>
      </c>
      <c r="S252" t="s">
        <v>99</v>
      </c>
      <c r="T252" t="s">
        <v>59</v>
      </c>
      <c r="U252" t="s">
        <v>63</v>
      </c>
      <c r="V252" t="b">
        <v>1</v>
      </c>
      <c r="W252">
        <v>-3.24</v>
      </c>
      <c r="X252">
        <v>2</v>
      </c>
      <c r="Y252" t="s">
        <v>17</v>
      </c>
    </row>
    <row r="253" spans="1:25">
      <c r="A253" t="s">
        <v>359</v>
      </c>
      <c r="B253" t="s">
        <v>359</v>
      </c>
      <c r="C253" t="s">
        <v>87</v>
      </c>
      <c r="D253" t="s">
        <v>88</v>
      </c>
      <c r="E253" s="3">
        <v>45867</v>
      </c>
      <c r="F253">
        <v>442.55</v>
      </c>
      <c r="G253" t="s">
        <v>56</v>
      </c>
      <c r="H253" t="s">
        <v>65</v>
      </c>
      <c r="I253" t="s">
        <v>103</v>
      </c>
      <c r="J253" t="s">
        <v>66</v>
      </c>
      <c r="L253" t="s">
        <v>89</v>
      </c>
      <c r="M253" t="s">
        <v>90</v>
      </c>
      <c r="N253" s="3">
        <v>45869</v>
      </c>
      <c r="O253">
        <v>444.71</v>
      </c>
      <c r="P253" t="s">
        <v>56</v>
      </c>
      <c r="Q253" t="s">
        <v>65</v>
      </c>
      <c r="R253" t="s">
        <v>103</v>
      </c>
      <c r="S253" t="s">
        <v>66</v>
      </c>
      <c r="U253" t="s">
        <v>87</v>
      </c>
      <c r="V253" t="b">
        <v>1</v>
      </c>
      <c r="W253">
        <v>-2.16</v>
      </c>
      <c r="X253">
        <v>-2</v>
      </c>
      <c r="Y253" t="s">
        <v>17</v>
      </c>
    </row>
    <row r="254" spans="1:25">
      <c r="A254" t="s">
        <v>360</v>
      </c>
      <c r="B254" t="s">
        <v>360</v>
      </c>
      <c r="C254" t="s">
        <v>119</v>
      </c>
      <c r="D254" t="s">
        <v>120</v>
      </c>
      <c r="E254" s="3">
        <v>45886</v>
      </c>
      <c r="F254">
        <v>453.66</v>
      </c>
      <c r="G254" t="s">
        <v>56</v>
      </c>
      <c r="H254" t="s">
        <v>73</v>
      </c>
      <c r="I254" t="s">
        <v>58</v>
      </c>
      <c r="J254" t="s">
        <v>109</v>
      </c>
      <c r="L254" t="s">
        <v>121</v>
      </c>
      <c r="M254" t="s">
        <v>122</v>
      </c>
      <c r="N254" s="3">
        <v>45886</v>
      </c>
      <c r="O254">
        <v>453.66</v>
      </c>
      <c r="P254" t="s">
        <v>56</v>
      </c>
      <c r="Q254" t="s">
        <v>73</v>
      </c>
      <c r="R254" t="s">
        <v>58</v>
      </c>
      <c r="S254" t="s">
        <v>109</v>
      </c>
      <c r="U254" t="s">
        <v>119</v>
      </c>
      <c r="V254" t="b">
        <v>1</v>
      </c>
      <c r="W254">
        <v>0</v>
      </c>
      <c r="X254">
        <v>0</v>
      </c>
      <c r="Y254" t="s">
        <v>14</v>
      </c>
    </row>
    <row r="255" spans="1:25">
      <c r="A255" t="s">
        <v>361</v>
      </c>
      <c r="B255" t="s">
        <v>361</v>
      </c>
      <c r="C255" t="s">
        <v>54</v>
      </c>
      <c r="D255" t="s">
        <v>55</v>
      </c>
      <c r="E255" s="3">
        <v>45890</v>
      </c>
      <c r="F255">
        <v>-609.63</v>
      </c>
      <c r="G255" t="s">
        <v>56</v>
      </c>
      <c r="H255" t="s">
        <v>73</v>
      </c>
      <c r="I255" t="s">
        <v>97</v>
      </c>
      <c r="J255" t="s">
        <v>109</v>
      </c>
      <c r="K255" t="s">
        <v>78</v>
      </c>
      <c r="L255" t="s">
        <v>60</v>
      </c>
      <c r="M255" t="s">
        <v>61</v>
      </c>
      <c r="N255" s="3">
        <v>45890</v>
      </c>
      <c r="O255">
        <v>-609.63</v>
      </c>
      <c r="P255" t="s">
        <v>56</v>
      </c>
      <c r="Q255" t="s">
        <v>73</v>
      </c>
      <c r="R255" t="s">
        <v>97</v>
      </c>
      <c r="S255" t="s">
        <v>109</v>
      </c>
      <c r="T255" t="s">
        <v>78</v>
      </c>
      <c r="U255" t="s">
        <v>54</v>
      </c>
      <c r="V255" t="b">
        <v>1</v>
      </c>
      <c r="W255">
        <v>0</v>
      </c>
      <c r="X255">
        <v>0</v>
      </c>
      <c r="Y255" t="s">
        <v>14</v>
      </c>
    </row>
    <row r="256" spans="1:25">
      <c r="A256" t="s">
        <v>362</v>
      </c>
      <c r="B256" t="s">
        <v>362</v>
      </c>
      <c r="C256" t="s">
        <v>71</v>
      </c>
      <c r="D256" t="s">
        <v>72</v>
      </c>
      <c r="E256" s="3">
        <v>45889</v>
      </c>
      <c r="F256">
        <v>515.09</v>
      </c>
      <c r="G256" t="s">
        <v>56</v>
      </c>
      <c r="H256" t="s">
        <v>57</v>
      </c>
      <c r="I256" t="s">
        <v>103</v>
      </c>
      <c r="J256" t="s">
        <v>109</v>
      </c>
      <c r="K256" t="s">
        <v>107</v>
      </c>
      <c r="L256" t="s">
        <v>74</v>
      </c>
      <c r="M256" t="s">
        <v>75</v>
      </c>
      <c r="N256" s="3">
        <v>45889</v>
      </c>
      <c r="O256">
        <v>515.09</v>
      </c>
      <c r="P256" t="s">
        <v>56</v>
      </c>
      <c r="Q256" t="s">
        <v>57</v>
      </c>
      <c r="R256" t="s">
        <v>103</v>
      </c>
      <c r="S256" t="s">
        <v>109</v>
      </c>
      <c r="T256" t="s">
        <v>107</v>
      </c>
      <c r="U256" t="s">
        <v>71</v>
      </c>
      <c r="V256" t="b">
        <v>1</v>
      </c>
      <c r="W256">
        <v>0</v>
      </c>
      <c r="X256">
        <v>0</v>
      </c>
      <c r="Y256" t="s">
        <v>14</v>
      </c>
    </row>
    <row r="257" spans="1:25">
      <c r="A257" t="s">
        <v>363</v>
      </c>
      <c r="B257" t="s">
        <v>363</v>
      </c>
      <c r="C257" t="s">
        <v>87</v>
      </c>
      <c r="D257" t="s">
        <v>88</v>
      </c>
      <c r="E257" s="3">
        <v>45874</v>
      </c>
      <c r="F257">
        <v>-743.95</v>
      </c>
      <c r="G257" t="s">
        <v>56</v>
      </c>
      <c r="H257" t="s">
        <v>57</v>
      </c>
      <c r="I257" t="s">
        <v>58</v>
      </c>
      <c r="J257" t="s">
        <v>66</v>
      </c>
      <c r="K257" t="s">
        <v>67</v>
      </c>
      <c r="L257" t="s">
        <v>100</v>
      </c>
      <c r="M257" t="s">
        <v>101</v>
      </c>
      <c r="N257" s="3">
        <v>45874</v>
      </c>
      <c r="O257">
        <v>-743.95</v>
      </c>
      <c r="P257" t="s">
        <v>56</v>
      </c>
      <c r="Q257" t="s">
        <v>57</v>
      </c>
      <c r="R257" t="s">
        <v>58</v>
      </c>
      <c r="S257" t="s">
        <v>66</v>
      </c>
      <c r="T257" t="s">
        <v>67</v>
      </c>
      <c r="U257" t="s">
        <v>87</v>
      </c>
      <c r="V257" t="b">
        <v>1</v>
      </c>
      <c r="W257">
        <v>0</v>
      </c>
      <c r="X257">
        <v>0</v>
      </c>
      <c r="Y257" t="s">
        <v>14</v>
      </c>
    </row>
    <row r="258" spans="1:25">
      <c r="A258" t="s">
        <v>364</v>
      </c>
      <c r="B258" t="s">
        <v>364</v>
      </c>
      <c r="C258" t="s">
        <v>71</v>
      </c>
      <c r="D258" t="s">
        <v>72</v>
      </c>
      <c r="E258" s="3">
        <v>45897</v>
      </c>
      <c r="F258">
        <v>382.96</v>
      </c>
      <c r="G258" t="s">
        <v>56</v>
      </c>
      <c r="H258" t="s">
        <v>80</v>
      </c>
      <c r="I258" t="s">
        <v>103</v>
      </c>
      <c r="J258" t="s">
        <v>66</v>
      </c>
      <c r="K258" t="s">
        <v>78</v>
      </c>
      <c r="L258" t="s">
        <v>74</v>
      </c>
      <c r="M258" t="s">
        <v>75</v>
      </c>
      <c r="N258" s="3">
        <v>45895</v>
      </c>
      <c r="O258">
        <v>395.64</v>
      </c>
      <c r="P258" t="s">
        <v>56</v>
      </c>
      <c r="Q258" t="s">
        <v>80</v>
      </c>
      <c r="R258" t="s">
        <v>103</v>
      </c>
      <c r="S258" t="s">
        <v>66</v>
      </c>
      <c r="T258" t="s">
        <v>78</v>
      </c>
      <c r="U258" t="s">
        <v>71</v>
      </c>
      <c r="V258" t="b">
        <v>1</v>
      </c>
      <c r="W258">
        <v>-12.68</v>
      </c>
      <c r="X258">
        <v>2</v>
      </c>
      <c r="Y258" t="s">
        <v>17</v>
      </c>
    </row>
    <row r="259" spans="1:25">
      <c r="A259" t="s">
        <v>365</v>
      </c>
      <c r="B259" t="s">
        <v>365</v>
      </c>
      <c r="C259" t="s">
        <v>87</v>
      </c>
      <c r="D259" t="s">
        <v>88</v>
      </c>
      <c r="E259" s="3">
        <v>45904</v>
      </c>
      <c r="F259">
        <v>251</v>
      </c>
      <c r="G259" t="s">
        <v>56</v>
      </c>
      <c r="H259" t="s">
        <v>65</v>
      </c>
      <c r="I259" t="s">
        <v>77</v>
      </c>
      <c r="J259" t="s">
        <v>117</v>
      </c>
      <c r="K259" t="s">
        <v>78</v>
      </c>
      <c r="L259" t="s">
        <v>100</v>
      </c>
      <c r="M259" t="s">
        <v>101</v>
      </c>
      <c r="N259" s="3">
        <v>45905</v>
      </c>
      <c r="O259">
        <v>250.99</v>
      </c>
      <c r="P259" t="s">
        <v>56</v>
      </c>
      <c r="Q259" t="s">
        <v>65</v>
      </c>
      <c r="R259" t="s">
        <v>77</v>
      </c>
      <c r="S259" t="s">
        <v>117</v>
      </c>
      <c r="T259" t="s">
        <v>78</v>
      </c>
      <c r="U259" t="s">
        <v>87</v>
      </c>
      <c r="V259" t="b">
        <v>1</v>
      </c>
      <c r="W259">
        <v>0.01</v>
      </c>
      <c r="X259">
        <v>-1</v>
      </c>
      <c r="Y259" t="s">
        <v>15</v>
      </c>
    </row>
    <row r="260" spans="1:25">
      <c r="A260" t="s">
        <v>366</v>
      </c>
      <c r="B260" t="s">
        <v>366</v>
      </c>
      <c r="C260" t="s">
        <v>150</v>
      </c>
      <c r="D260" t="s">
        <v>151</v>
      </c>
      <c r="E260" s="3">
        <v>45865</v>
      </c>
      <c r="F260">
        <v>495.22</v>
      </c>
      <c r="G260" t="s">
        <v>56</v>
      </c>
      <c r="H260" t="s">
        <v>57</v>
      </c>
      <c r="I260" t="s">
        <v>97</v>
      </c>
      <c r="J260" t="s">
        <v>117</v>
      </c>
      <c r="K260" t="s">
        <v>105</v>
      </c>
      <c r="L260" t="s">
        <v>152</v>
      </c>
      <c r="M260" t="s">
        <v>153</v>
      </c>
      <c r="N260" s="3">
        <v>45865</v>
      </c>
      <c r="O260">
        <v>495.22</v>
      </c>
      <c r="P260" t="s">
        <v>56</v>
      </c>
      <c r="Q260" t="s">
        <v>57</v>
      </c>
      <c r="R260" t="s">
        <v>97</v>
      </c>
      <c r="S260" t="s">
        <v>117</v>
      </c>
      <c r="T260" t="s">
        <v>105</v>
      </c>
      <c r="U260" t="s">
        <v>150</v>
      </c>
      <c r="V260" t="b">
        <v>1</v>
      </c>
      <c r="W260">
        <v>0</v>
      </c>
      <c r="X260">
        <v>0</v>
      </c>
      <c r="Y260" t="s">
        <v>14</v>
      </c>
    </row>
    <row r="261" spans="1:25">
      <c r="A261" t="s">
        <v>367</v>
      </c>
      <c r="B261" t="s">
        <v>367</v>
      </c>
      <c r="C261" t="s">
        <v>92</v>
      </c>
      <c r="D261" t="s">
        <v>93</v>
      </c>
      <c r="E261" s="3">
        <v>45903</v>
      </c>
      <c r="F261">
        <v>-657.09</v>
      </c>
      <c r="G261" t="s">
        <v>56</v>
      </c>
      <c r="H261" t="s">
        <v>65</v>
      </c>
      <c r="I261" t="s">
        <v>103</v>
      </c>
      <c r="J261" t="s">
        <v>109</v>
      </c>
      <c r="K261" t="s">
        <v>105</v>
      </c>
      <c r="L261" t="s">
        <v>125</v>
      </c>
      <c r="M261" t="s">
        <v>126</v>
      </c>
      <c r="N261" s="3">
        <v>45905</v>
      </c>
      <c r="O261">
        <v>-656.77</v>
      </c>
      <c r="P261" t="s">
        <v>56</v>
      </c>
      <c r="Q261" t="s">
        <v>65</v>
      </c>
      <c r="R261" t="s">
        <v>103</v>
      </c>
      <c r="S261" t="s">
        <v>109</v>
      </c>
      <c r="T261" t="s">
        <v>105</v>
      </c>
      <c r="U261" t="s">
        <v>92</v>
      </c>
      <c r="V261" t="b">
        <v>1</v>
      </c>
      <c r="W261">
        <v>-0.32</v>
      </c>
      <c r="X261">
        <v>-2</v>
      </c>
      <c r="Y261" t="s">
        <v>15</v>
      </c>
    </row>
    <row r="262" spans="1:25">
      <c r="A262" t="s">
        <v>368</v>
      </c>
      <c r="B262" t="s">
        <v>368</v>
      </c>
      <c r="C262" t="s">
        <v>71</v>
      </c>
      <c r="D262" t="s">
        <v>72</v>
      </c>
      <c r="E262" s="3">
        <v>45886</v>
      </c>
      <c r="F262">
        <v>811.16</v>
      </c>
      <c r="G262" t="s">
        <v>56</v>
      </c>
      <c r="H262" t="s">
        <v>65</v>
      </c>
      <c r="I262" t="s">
        <v>77</v>
      </c>
      <c r="J262" t="s">
        <v>99</v>
      </c>
      <c r="L262" t="s">
        <v>74</v>
      </c>
      <c r="M262" t="s">
        <v>75</v>
      </c>
      <c r="N262" s="3">
        <v>45887</v>
      </c>
      <c r="O262">
        <v>811.72</v>
      </c>
      <c r="P262" t="s">
        <v>56</v>
      </c>
      <c r="Q262" t="s">
        <v>65</v>
      </c>
      <c r="R262" t="s">
        <v>77</v>
      </c>
      <c r="S262" t="s">
        <v>99</v>
      </c>
      <c r="U262" t="s">
        <v>71</v>
      </c>
      <c r="V262" t="b">
        <v>1</v>
      </c>
      <c r="W262">
        <v>-0.56000000000000005</v>
      </c>
      <c r="X262">
        <v>-1</v>
      </c>
      <c r="Y262" t="s">
        <v>15</v>
      </c>
    </row>
    <row r="263" spans="1:25">
      <c r="A263" t="s">
        <v>369</v>
      </c>
      <c r="B263" t="s">
        <v>369</v>
      </c>
      <c r="C263" t="s">
        <v>87</v>
      </c>
      <c r="D263" t="s">
        <v>88</v>
      </c>
      <c r="E263" s="3">
        <v>45874</v>
      </c>
      <c r="F263">
        <v>703.48</v>
      </c>
      <c r="G263" t="s">
        <v>56</v>
      </c>
      <c r="H263" t="s">
        <v>80</v>
      </c>
      <c r="I263" t="s">
        <v>77</v>
      </c>
      <c r="J263" t="s">
        <v>109</v>
      </c>
      <c r="K263" t="s">
        <v>78</v>
      </c>
      <c r="L263" t="s">
        <v>89</v>
      </c>
      <c r="M263" t="s">
        <v>90</v>
      </c>
      <c r="N263" s="3">
        <v>45873</v>
      </c>
      <c r="O263">
        <v>703.45</v>
      </c>
      <c r="P263" t="s">
        <v>56</v>
      </c>
      <c r="Q263" t="s">
        <v>80</v>
      </c>
      <c r="R263" t="s">
        <v>77</v>
      </c>
      <c r="S263" t="s">
        <v>109</v>
      </c>
      <c r="T263" t="s">
        <v>78</v>
      </c>
      <c r="U263" t="s">
        <v>87</v>
      </c>
      <c r="V263" t="b">
        <v>1</v>
      </c>
      <c r="W263">
        <v>0.03</v>
      </c>
      <c r="X263">
        <v>1</v>
      </c>
      <c r="Y263" t="s">
        <v>15</v>
      </c>
    </row>
    <row r="264" spans="1:25">
      <c r="A264" t="s">
        <v>370</v>
      </c>
      <c r="B264" t="s">
        <v>370</v>
      </c>
      <c r="C264" t="s">
        <v>92</v>
      </c>
      <c r="D264" t="s">
        <v>93</v>
      </c>
      <c r="E264" s="3">
        <v>45857</v>
      </c>
      <c r="F264">
        <v>58.64</v>
      </c>
      <c r="G264" t="s">
        <v>56</v>
      </c>
      <c r="H264" t="s">
        <v>80</v>
      </c>
      <c r="I264" t="s">
        <v>103</v>
      </c>
      <c r="J264" t="s">
        <v>81</v>
      </c>
      <c r="K264" t="s">
        <v>105</v>
      </c>
      <c r="L264" t="s">
        <v>94</v>
      </c>
      <c r="M264" t="s">
        <v>95</v>
      </c>
      <c r="N264" s="3">
        <v>45857</v>
      </c>
      <c r="O264">
        <v>58.64</v>
      </c>
      <c r="P264" t="s">
        <v>56</v>
      </c>
      <c r="Q264" t="s">
        <v>80</v>
      </c>
      <c r="R264" t="s">
        <v>103</v>
      </c>
      <c r="S264" t="s">
        <v>81</v>
      </c>
      <c r="T264" t="s">
        <v>105</v>
      </c>
      <c r="U264" t="s">
        <v>92</v>
      </c>
      <c r="V264" t="b">
        <v>1</v>
      </c>
      <c r="W264">
        <v>0</v>
      </c>
      <c r="X264">
        <v>0</v>
      </c>
      <c r="Y264" t="s">
        <v>14</v>
      </c>
    </row>
    <row r="265" spans="1:25">
      <c r="A265" t="s">
        <v>371</v>
      </c>
      <c r="B265" t="s">
        <v>371</v>
      </c>
      <c r="C265" t="s">
        <v>87</v>
      </c>
      <c r="D265" t="s">
        <v>88</v>
      </c>
      <c r="E265" s="3">
        <v>45877</v>
      </c>
      <c r="F265">
        <v>594.26</v>
      </c>
      <c r="G265" t="s">
        <v>56</v>
      </c>
      <c r="H265" t="s">
        <v>73</v>
      </c>
      <c r="I265" t="s">
        <v>58</v>
      </c>
      <c r="J265" t="s">
        <v>109</v>
      </c>
      <c r="K265" t="s">
        <v>138</v>
      </c>
      <c r="L265" t="s">
        <v>100</v>
      </c>
      <c r="M265" t="s">
        <v>101</v>
      </c>
      <c r="N265" s="3">
        <v>45877</v>
      </c>
      <c r="O265">
        <v>594.26</v>
      </c>
      <c r="P265" t="s">
        <v>56</v>
      </c>
      <c r="Q265" t="s">
        <v>73</v>
      </c>
      <c r="R265" t="s">
        <v>58</v>
      </c>
      <c r="S265" t="s">
        <v>109</v>
      </c>
      <c r="T265" t="s">
        <v>138</v>
      </c>
      <c r="U265" t="s">
        <v>87</v>
      </c>
      <c r="V265" t="b">
        <v>1</v>
      </c>
      <c r="W265">
        <v>0</v>
      </c>
      <c r="X265">
        <v>0</v>
      </c>
      <c r="Y265" t="s">
        <v>14</v>
      </c>
    </row>
    <row r="266" spans="1:25">
      <c r="A266" t="s">
        <v>372</v>
      </c>
      <c r="B266" t="s">
        <v>372</v>
      </c>
      <c r="C266" t="s">
        <v>150</v>
      </c>
      <c r="D266" t="s">
        <v>151</v>
      </c>
      <c r="E266" s="3">
        <v>45916</v>
      </c>
      <c r="F266">
        <v>-865.09</v>
      </c>
      <c r="G266" t="s">
        <v>56</v>
      </c>
      <c r="H266" t="s">
        <v>73</v>
      </c>
      <c r="I266" t="s">
        <v>58</v>
      </c>
      <c r="J266" t="s">
        <v>66</v>
      </c>
      <c r="L266" t="s">
        <v>152</v>
      </c>
      <c r="M266" t="s">
        <v>153</v>
      </c>
      <c r="N266" s="3">
        <v>45916</v>
      </c>
      <c r="O266">
        <v>-865.09</v>
      </c>
      <c r="P266" t="s">
        <v>56</v>
      </c>
      <c r="Q266" t="s">
        <v>73</v>
      </c>
      <c r="R266" t="s">
        <v>58</v>
      </c>
      <c r="S266" t="s">
        <v>66</v>
      </c>
      <c r="U266" t="s">
        <v>150</v>
      </c>
      <c r="V266" t="b">
        <v>1</v>
      </c>
      <c r="W266">
        <v>0</v>
      </c>
      <c r="X266">
        <v>0</v>
      </c>
      <c r="Y266" t="s">
        <v>14</v>
      </c>
    </row>
    <row r="267" spans="1:25">
      <c r="A267" t="s">
        <v>373</v>
      </c>
      <c r="B267" t="s">
        <v>373</v>
      </c>
      <c r="C267" t="s">
        <v>119</v>
      </c>
      <c r="D267" t="s">
        <v>120</v>
      </c>
      <c r="E267" s="3">
        <v>45914</v>
      </c>
      <c r="F267">
        <v>-515.64</v>
      </c>
      <c r="G267" t="s">
        <v>56</v>
      </c>
      <c r="H267" t="s">
        <v>65</v>
      </c>
      <c r="I267" t="s">
        <v>103</v>
      </c>
      <c r="J267" t="s">
        <v>109</v>
      </c>
      <c r="K267" t="s">
        <v>59</v>
      </c>
      <c r="L267" t="s">
        <v>121</v>
      </c>
      <c r="M267" t="s">
        <v>122</v>
      </c>
      <c r="N267" s="3">
        <v>45914</v>
      </c>
      <c r="O267">
        <v>-515.64</v>
      </c>
      <c r="P267" t="s">
        <v>56</v>
      </c>
      <c r="Q267" t="s">
        <v>65</v>
      </c>
      <c r="R267" t="s">
        <v>103</v>
      </c>
      <c r="S267" t="s">
        <v>109</v>
      </c>
      <c r="T267" t="s">
        <v>59</v>
      </c>
      <c r="U267" t="s">
        <v>119</v>
      </c>
      <c r="V267" t="b">
        <v>1</v>
      </c>
      <c r="W267">
        <v>0</v>
      </c>
      <c r="X267">
        <v>0</v>
      </c>
      <c r="Y267" t="s">
        <v>14</v>
      </c>
    </row>
    <row r="268" spans="1:25">
      <c r="A268" t="s">
        <v>374</v>
      </c>
      <c r="B268" t="s">
        <v>374</v>
      </c>
      <c r="C268" t="s">
        <v>63</v>
      </c>
      <c r="D268" t="s">
        <v>64</v>
      </c>
      <c r="E268" s="3">
        <v>45899</v>
      </c>
      <c r="F268">
        <v>-370.99</v>
      </c>
      <c r="G268" t="s">
        <v>56</v>
      </c>
      <c r="H268" t="s">
        <v>57</v>
      </c>
      <c r="I268" t="s">
        <v>103</v>
      </c>
      <c r="J268" t="s">
        <v>99</v>
      </c>
      <c r="K268" t="s">
        <v>59</v>
      </c>
      <c r="L268" t="s">
        <v>82</v>
      </c>
      <c r="M268" t="s">
        <v>83</v>
      </c>
      <c r="N268" s="3">
        <v>45898</v>
      </c>
      <c r="O268">
        <v>-371.18</v>
      </c>
      <c r="P268" t="s">
        <v>56</v>
      </c>
      <c r="Q268" t="s">
        <v>57</v>
      </c>
      <c r="R268" t="s">
        <v>103</v>
      </c>
      <c r="S268" t="s">
        <v>99</v>
      </c>
      <c r="T268" t="s">
        <v>59</v>
      </c>
      <c r="U268" t="s">
        <v>63</v>
      </c>
      <c r="V268" t="b">
        <v>1</v>
      </c>
      <c r="W268">
        <v>0.19</v>
      </c>
      <c r="X268">
        <v>1</v>
      </c>
      <c r="Y268" t="s">
        <v>15</v>
      </c>
    </row>
    <row r="269" spans="1:25">
      <c r="A269" t="s">
        <v>375</v>
      </c>
      <c r="B269" t="s">
        <v>375</v>
      </c>
      <c r="C269" t="s">
        <v>63</v>
      </c>
      <c r="D269" t="s">
        <v>64</v>
      </c>
      <c r="E269" s="3">
        <v>45894</v>
      </c>
      <c r="F269">
        <v>-577.29</v>
      </c>
      <c r="G269" t="s">
        <v>56</v>
      </c>
      <c r="H269" t="s">
        <v>65</v>
      </c>
      <c r="I269" t="s">
        <v>97</v>
      </c>
      <c r="K269" t="s">
        <v>67</v>
      </c>
      <c r="L269" t="s">
        <v>68</v>
      </c>
      <c r="M269" t="s">
        <v>69</v>
      </c>
      <c r="N269" s="3">
        <v>45894</v>
      </c>
      <c r="O269">
        <v>-577.29</v>
      </c>
      <c r="P269" t="s">
        <v>56</v>
      </c>
      <c r="Q269" t="s">
        <v>65</v>
      </c>
      <c r="R269" t="s">
        <v>97</v>
      </c>
      <c r="T269" t="s">
        <v>67</v>
      </c>
      <c r="U269" t="s">
        <v>63</v>
      </c>
      <c r="V269" t="b">
        <v>1</v>
      </c>
      <c r="W269">
        <v>0</v>
      </c>
      <c r="X269">
        <v>0</v>
      </c>
      <c r="Y269" t="s">
        <v>14</v>
      </c>
    </row>
    <row r="270" spans="1:25">
      <c r="A270" t="s">
        <v>376</v>
      </c>
      <c r="B270" t="s">
        <v>376</v>
      </c>
      <c r="C270" t="s">
        <v>54</v>
      </c>
      <c r="D270" t="s">
        <v>55</v>
      </c>
      <c r="E270" s="3">
        <v>45907</v>
      </c>
      <c r="F270">
        <v>-374.19</v>
      </c>
      <c r="G270" t="s">
        <v>56</v>
      </c>
      <c r="H270" t="s">
        <v>73</v>
      </c>
      <c r="I270" t="s">
        <v>97</v>
      </c>
      <c r="J270" t="s">
        <v>85</v>
      </c>
      <c r="K270" t="s">
        <v>105</v>
      </c>
      <c r="L270" t="s">
        <v>60</v>
      </c>
      <c r="M270" t="s">
        <v>61</v>
      </c>
      <c r="N270" s="3">
        <v>45907</v>
      </c>
      <c r="O270">
        <v>-374.19</v>
      </c>
      <c r="P270" t="s">
        <v>56</v>
      </c>
      <c r="Q270" t="s">
        <v>73</v>
      </c>
      <c r="R270" t="s">
        <v>97</v>
      </c>
      <c r="S270" t="s">
        <v>85</v>
      </c>
      <c r="T270" t="s">
        <v>105</v>
      </c>
      <c r="U270" t="s">
        <v>54</v>
      </c>
      <c r="V270" t="b">
        <v>1</v>
      </c>
      <c r="W270">
        <v>0</v>
      </c>
      <c r="X270">
        <v>0</v>
      </c>
      <c r="Y270" t="s">
        <v>14</v>
      </c>
    </row>
    <row r="271" spans="1:25">
      <c r="A271" t="s">
        <v>377</v>
      </c>
      <c r="B271" t="s">
        <v>377</v>
      </c>
      <c r="C271" t="s">
        <v>119</v>
      </c>
      <c r="D271" t="s">
        <v>120</v>
      </c>
      <c r="E271" s="3">
        <v>45907</v>
      </c>
      <c r="F271">
        <v>-659.78</v>
      </c>
      <c r="G271" t="s">
        <v>56</v>
      </c>
      <c r="H271" t="s">
        <v>80</v>
      </c>
      <c r="I271" t="s">
        <v>97</v>
      </c>
      <c r="J271" t="s">
        <v>117</v>
      </c>
      <c r="K271" t="s">
        <v>105</v>
      </c>
      <c r="L271" t="s">
        <v>121</v>
      </c>
      <c r="M271" t="s">
        <v>122</v>
      </c>
      <c r="N271" s="3">
        <v>45907</v>
      </c>
      <c r="O271">
        <v>-659.78</v>
      </c>
      <c r="P271" t="s">
        <v>56</v>
      </c>
      <c r="Q271" t="s">
        <v>80</v>
      </c>
      <c r="R271" t="s">
        <v>97</v>
      </c>
      <c r="S271" t="s">
        <v>117</v>
      </c>
      <c r="T271" t="s">
        <v>105</v>
      </c>
      <c r="U271" t="s">
        <v>119</v>
      </c>
      <c r="V271" t="b">
        <v>1</v>
      </c>
      <c r="W271">
        <v>0</v>
      </c>
      <c r="X271">
        <v>0</v>
      </c>
      <c r="Y271" t="s">
        <v>14</v>
      </c>
    </row>
    <row r="272" spans="1:25">
      <c r="A272" t="s">
        <v>378</v>
      </c>
      <c r="B272" t="s">
        <v>378</v>
      </c>
      <c r="C272" t="s">
        <v>87</v>
      </c>
      <c r="D272" t="s">
        <v>88</v>
      </c>
      <c r="E272" s="3">
        <v>45890</v>
      </c>
      <c r="F272">
        <v>-496.75</v>
      </c>
      <c r="G272" t="s">
        <v>56</v>
      </c>
      <c r="H272" t="s">
        <v>73</v>
      </c>
      <c r="I272" t="s">
        <v>58</v>
      </c>
      <c r="J272" t="s">
        <v>85</v>
      </c>
      <c r="K272" t="s">
        <v>107</v>
      </c>
      <c r="L272" t="s">
        <v>89</v>
      </c>
      <c r="M272" t="s">
        <v>90</v>
      </c>
      <c r="N272" s="3">
        <v>45890</v>
      </c>
      <c r="O272">
        <v>-496.75</v>
      </c>
      <c r="P272" t="s">
        <v>56</v>
      </c>
      <c r="Q272" t="s">
        <v>73</v>
      </c>
      <c r="R272" t="s">
        <v>58</v>
      </c>
      <c r="S272" t="s">
        <v>85</v>
      </c>
      <c r="T272" t="s">
        <v>107</v>
      </c>
      <c r="U272" t="s">
        <v>87</v>
      </c>
      <c r="V272" t="b">
        <v>1</v>
      </c>
      <c r="W272">
        <v>0</v>
      </c>
      <c r="X272">
        <v>0</v>
      </c>
      <c r="Y272" t="s">
        <v>14</v>
      </c>
    </row>
    <row r="273" spans="1:25">
      <c r="A273" t="s">
        <v>379</v>
      </c>
      <c r="B273" t="s">
        <v>379</v>
      </c>
      <c r="C273" t="s">
        <v>87</v>
      </c>
      <c r="D273" t="s">
        <v>88</v>
      </c>
      <c r="E273" s="3">
        <v>45883</v>
      </c>
      <c r="F273">
        <v>-848.25</v>
      </c>
      <c r="G273" t="s">
        <v>56</v>
      </c>
      <c r="H273" t="s">
        <v>65</v>
      </c>
      <c r="I273" t="s">
        <v>77</v>
      </c>
      <c r="J273" t="s">
        <v>117</v>
      </c>
      <c r="K273" t="s">
        <v>59</v>
      </c>
      <c r="L273" t="s">
        <v>100</v>
      </c>
      <c r="M273" t="s">
        <v>101</v>
      </c>
      <c r="N273" s="3">
        <v>45883</v>
      </c>
      <c r="O273">
        <v>-848.25</v>
      </c>
      <c r="P273" t="s">
        <v>56</v>
      </c>
      <c r="Q273" t="s">
        <v>65</v>
      </c>
      <c r="R273" t="s">
        <v>77</v>
      </c>
      <c r="S273" t="s">
        <v>117</v>
      </c>
      <c r="T273" t="s">
        <v>59</v>
      </c>
      <c r="U273" t="s">
        <v>87</v>
      </c>
      <c r="V273" t="b">
        <v>1</v>
      </c>
      <c r="W273">
        <v>0</v>
      </c>
      <c r="X273">
        <v>0</v>
      </c>
      <c r="Y273" t="s">
        <v>14</v>
      </c>
    </row>
    <row r="274" spans="1:25">
      <c r="A274" t="s">
        <v>380</v>
      </c>
      <c r="B274" t="s">
        <v>380</v>
      </c>
      <c r="C274" t="s">
        <v>63</v>
      </c>
      <c r="D274" t="s">
        <v>64</v>
      </c>
      <c r="E274" s="3">
        <v>45887</v>
      </c>
      <c r="F274">
        <v>624.88</v>
      </c>
      <c r="G274" t="s">
        <v>56</v>
      </c>
      <c r="H274" t="s">
        <v>65</v>
      </c>
      <c r="I274" t="s">
        <v>77</v>
      </c>
      <c r="J274" t="s">
        <v>81</v>
      </c>
      <c r="K274" t="s">
        <v>67</v>
      </c>
      <c r="L274" t="s">
        <v>82</v>
      </c>
      <c r="M274" t="s">
        <v>83</v>
      </c>
      <c r="N274" s="3">
        <v>45887</v>
      </c>
      <c r="O274">
        <v>624.88</v>
      </c>
      <c r="P274" t="s">
        <v>56</v>
      </c>
      <c r="Q274" t="s">
        <v>65</v>
      </c>
      <c r="R274" t="s">
        <v>77</v>
      </c>
      <c r="S274" t="s">
        <v>81</v>
      </c>
      <c r="T274" t="s">
        <v>67</v>
      </c>
      <c r="U274" t="s">
        <v>63</v>
      </c>
      <c r="V274" t="b">
        <v>1</v>
      </c>
      <c r="W274">
        <v>0</v>
      </c>
      <c r="X274">
        <v>0</v>
      </c>
      <c r="Y274" t="s">
        <v>14</v>
      </c>
    </row>
    <row r="275" spans="1:25">
      <c r="A275" t="s">
        <v>381</v>
      </c>
      <c r="B275" t="s">
        <v>381</v>
      </c>
      <c r="C275" t="s">
        <v>150</v>
      </c>
      <c r="D275" t="s">
        <v>151</v>
      </c>
      <c r="E275" s="3">
        <v>45891</v>
      </c>
      <c r="F275">
        <v>319.02999999999997</v>
      </c>
      <c r="G275" t="s">
        <v>56</v>
      </c>
      <c r="H275" t="s">
        <v>57</v>
      </c>
      <c r="I275" t="s">
        <v>97</v>
      </c>
      <c r="K275" t="s">
        <v>138</v>
      </c>
      <c r="L275" t="s">
        <v>152</v>
      </c>
      <c r="M275" t="s">
        <v>153</v>
      </c>
      <c r="N275" s="3">
        <v>45891</v>
      </c>
      <c r="O275">
        <v>319.02999999999997</v>
      </c>
      <c r="P275" t="s">
        <v>56</v>
      </c>
      <c r="Q275" t="s">
        <v>57</v>
      </c>
      <c r="R275" t="s">
        <v>97</v>
      </c>
      <c r="T275" t="s">
        <v>138</v>
      </c>
      <c r="U275" t="s">
        <v>150</v>
      </c>
      <c r="V275" t="b">
        <v>1</v>
      </c>
      <c r="W275">
        <v>0</v>
      </c>
      <c r="X275">
        <v>0</v>
      </c>
      <c r="Y275" t="s">
        <v>14</v>
      </c>
    </row>
    <row r="276" spans="1:25">
      <c r="A276" t="s">
        <v>382</v>
      </c>
      <c r="B276" t="s">
        <v>382</v>
      </c>
      <c r="C276" t="s">
        <v>92</v>
      </c>
      <c r="D276" t="s">
        <v>93</v>
      </c>
      <c r="E276" s="3">
        <v>45901</v>
      </c>
      <c r="F276">
        <v>651.16</v>
      </c>
      <c r="G276" t="s">
        <v>56</v>
      </c>
      <c r="H276" t="s">
        <v>80</v>
      </c>
      <c r="I276" t="s">
        <v>77</v>
      </c>
      <c r="J276" t="s">
        <v>99</v>
      </c>
      <c r="K276" t="s">
        <v>67</v>
      </c>
      <c r="L276" t="s">
        <v>94</v>
      </c>
      <c r="M276" t="s">
        <v>95</v>
      </c>
      <c r="N276" s="3">
        <v>45903</v>
      </c>
      <c r="O276">
        <v>655.37</v>
      </c>
      <c r="P276" t="s">
        <v>56</v>
      </c>
      <c r="Q276" t="s">
        <v>80</v>
      </c>
      <c r="R276" t="s">
        <v>77</v>
      </c>
      <c r="S276" t="s">
        <v>99</v>
      </c>
      <c r="T276" t="s">
        <v>67</v>
      </c>
      <c r="U276" t="s">
        <v>92</v>
      </c>
      <c r="V276" t="b">
        <v>1</v>
      </c>
      <c r="W276">
        <v>-4.21</v>
      </c>
      <c r="X276">
        <v>-2</v>
      </c>
      <c r="Y276" t="s">
        <v>17</v>
      </c>
    </row>
    <row r="277" spans="1:25">
      <c r="A277" t="s">
        <v>383</v>
      </c>
      <c r="B277" t="s">
        <v>383</v>
      </c>
      <c r="C277" t="s">
        <v>71</v>
      </c>
      <c r="D277" t="s">
        <v>72</v>
      </c>
      <c r="E277" s="3">
        <v>45900</v>
      </c>
      <c r="F277">
        <v>-734</v>
      </c>
      <c r="G277" t="s">
        <v>56</v>
      </c>
      <c r="H277" t="s">
        <v>80</v>
      </c>
      <c r="I277" t="s">
        <v>58</v>
      </c>
      <c r="J277" t="s">
        <v>66</v>
      </c>
      <c r="K277" t="s">
        <v>59</v>
      </c>
      <c r="L277" t="s">
        <v>74</v>
      </c>
      <c r="M277" t="s">
        <v>75</v>
      </c>
      <c r="N277" s="3">
        <v>45900</v>
      </c>
      <c r="O277">
        <v>-734</v>
      </c>
      <c r="P277" t="s">
        <v>56</v>
      </c>
      <c r="Q277" t="s">
        <v>80</v>
      </c>
      <c r="R277" t="s">
        <v>58</v>
      </c>
      <c r="S277" t="s">
        <v>66</v>
      </c>
      <c r="T277" t="s">
        <v>59</v>
      </c>
      <c r="U277" t="s">
        <v>71</v>
      </c>
      <c r="V277" t="b">
        <v>1</v>
      </c>
      <c r="W277">
        <v>0</v>
      </c>
      <c r="X277">
        <v>0</v>
      </c>
      <c r="Y277" t="s">
        <v>14</v>
      </c>
    </row>
    <row r="278" spans="1:25">
      <c r="A278" t="s">
        <v>384</v>
      </c>
      <c r="B278" t="s">
        <v>384</v>
      </c>
      <c r="C278" t="s">
        <v>63</v>
      </c>
      <c r="D278" t="s">
        <v>64</v>
      </c>
      <c r="E278" s="3">
        <v>45900</v>
      </c>
      <c r="F278">
        <v>357.89</v>
      </c>
      <c r="G278" t="s">
        <v>56</v>
      </c>
      <c r="H278" t="s">
        <v>80</v>
      </c>
      <c r="I278" t="s">
        <v>58</v>
      </c>
      <c r="J278" t="s">
        <v>85</v>
      </c>
      <c r="K278" t="s">
        <v>67</v>
      </c>
      <c r="L278" t="s">
        <v>82</v>
      </c>
      <c r="M278" t="s">
        <v>83</v>
      </c>
      <c r="N278" s="3">
        <v>45899</v>
      </c>
      <c r="O278">
        <v>356.04</v>
      </c>
      <c r="P278" t="s">
        <v>56</v>
      </c>
      <c r="Q278" t="s">
        <v>80</v>
      </c>
      <c r="R278" t="s">
        <v>58</v>
      </c>
      <c r="S278" t="s">
        <v>85</v>
      </c>
      <c r="T278" t="s">
        <v>67</v>
      </c>
      <c r="U278" t="s">
        <v>63</v>
      </c>
      <c r="V278" t="b">
        <v>1</v>
      </c>
      <c r="W278">
        <v>1.85</v>
      </c>
      <c r="X278">
        <v>1</v>
      </c>
      <c r="Y278" t="s">
        <v>17</v>
      </c>
    </row>
    <row r="279" spans="1:25">
      <c r="A279" t="s">
        <v>385</v>
      </c>
      <c r="B279" t="s">
        <v>385</v>
      </c>
      <c r="C279" t="s">
        <v>92</v>
      </c>
      <c r="D279" t="s">
        <v>93</v>
      </c>
      <c r="E279" s="3">
        <v>45905</v>
      </c>
      <c r="F279">
        <v>393.55</v>
      </c>
      <c r="G279" t="s">
        <v>56</v>
      </c>
      <c r="H279" t="s">
        <v>57</v>
      </c>
      <c r="I279" t="s">
        <v>97</v>
      </c>
      <c r="J279" t="s">
        <v>109</v>
      </c>
      <c r="K279" t="s">
        <v>67</v>
      </c>
      <c r="L279" t="s">
        <v>94</v>
      </c>
      <c r="M279" t="s">
        <v>95</v>
      </c>
      <c r="N279" s="3">
        <v>45905</v>
      </c>
      <c r="O279">
        <v>393.55</v>
      </c>
      <c r="P279" t="s">
        <v>56</v>
      </c>
      <c r="Q279" t="s">
        <v>57</v>
      </c>
      <c r="R279" t="s">
        <v>97</v>
      </c>
      <c r="S279" t="s">
        <v>109</v>
      </c>
      <c r="T279" t="s">
        <v>67</v>
      </c>
      <c r="U279" t="s">
        <v>92</v>
      </c>
      <c r="V279" t="b">
        <v>1</v>
      </c>
      <c r="W279">
        <v>0</v>
      </c>
      <c r="X279">
        <v>0</v>
      </c>
      <c r="Y279" t="s">
        <v>14</v>
      </c>
    </row>
    <row r="280" spans="1:25">
      <c r="A280" t="s">
        <v>386</v>
      </c>
      <c r="B280" t="s">
        <v>386</v>
      </c>
      <c r="C280" t="s">
        <v>150</v>
      </c>
      <c r="D280" t="s">
        <v>151</v>
      </c>
      <c r="E280" s="3">
        <v>45878</v>
      </c>
      <c r="F280">
        <v>76.3</v>
      </c>
      <c r="G280" t="s">
        <v>56</v>
      </c>
      <c r="H280" t="s">
        <v>80</v>
      </c>
      <c r="I280" t="s">
        <v>103</v>
      </c>
      <c r="J280" t="s">
        <v>117</v>
      </c>
      <c r="L280" t="s">
        <v>152</v>
      </c>
      <c r="M280" t="s">
        <v>153</v>
      </c>
      <c r="N280" s="3">
        <v>45878</v>
      </c>
      <c r="O280">
        <v>76.3</v>
      </c>
      <c r="P280" t="s">
        <v>56</v>
      </c>
      <c r="Q280" t="s">
        <v>80</v>
      </c>
      <c r="R280" t="s">
        <v>103</v>
      </c>
      <c r="S280" t="s">
        <v>117</v>
      </c>
      <c r="U280" t="s">
        <v>150</v>
      </c>
      <c r="V280" t="b">
        <v>1</v>
      </c>
      <c r="W280">
        <v>0</v>
      </c>
      <c r="X280">
        <v>0</v>
      </c>
      <c r="Y280" t="s">
        <v>14</v>
      </c>
    </row>
    <row r="281" spans="1:25">
      <c r="A281" t="s">
        <v>387</v>
      </c>
      <c r="B281" t="s">
        <v>387</v>
      </c>
      <c r="C281" t="s">
        <v>92</v>
      </c>
      <c r="D281" t="s">
        <v>93</v>
      </c>
      <c r="E281" s="3">
        <v>45892</v>
      </c>
      <c r="F281">
        <v>725.85</v>
      </c>
      <c r="G281" t="s">
        <v>56</v>
      </c>
      <c r="H281" t="s">
        <v>65</v>
      </c>
      <c r="I281" t="s">
        <v>103</v>
      </c>
      <c r="J281" t="s">
        <v>117</v>
      </c>
      <c r="K281" t="s">
        <v>138</v>
      </c>
      <c r="L281" t="s">
        <v>125</v>
      </c>
      <c r="M281" t="s">
        <v>126</v>
      </c>
      <c r="N281" s="3">
        <v>45892</v>
      </c>
      <c r="O281">
        <v>725.85</v>
      </c>
      <c r="P281" t="s">
        <v>56</v>
      </c>
      <c r="Q281" t="s">
        <v>65</v>
      </c>
      <c r="R281" t="s">
        <v>103</v>
      </c>
      <c r="S281" t="s">
        <v>117</v>
      </c>
      <c r="T281" t="s">
        <v>138</v>
      </c>
      <c r="U281" t="s">
        <v>92</v>
      </c>
      <c r="V281" t="b">
        <v>1</v>
      </c>
      <c r="W281">
        <v>0</v>
      </c>
      <c r="X281">
        <v>0</v>
      </c>
      <c r="Y281" t="s">
        <v>14</v>
      </c>
    </row>
    <row r="282" spans="1:25">
      <c r="A282" t="s">
        <v>388</v>
      </c>
      <c r="B282" t="s">
        <v>388</v>
      </c>
      <c r="C282" t="s">
        <v>71</v>
      </c>
      <c r="D282" t="s">
        <v>72</v>
      </c>
      <c r="E282" s="3">
        <v>45873</v>
      </c>
      <c r="F282">
        <v>353.06</v>
      </c>
      <c r="G282" t="s">
        <v>56</v>
      </c>
      <c r="H282" t="s">
        <v>80</v>
      </c>
      <c r="I282" t="s">
        <v>103</v>
      </c>
      <c r="J282" t="s">
        <v>99</v>
      </c>
      <c r="L282" t="s">
        <v>74</v>
      </c>
      <c r="M282" t="s">
        <v>75</v>
      </c>
      <c r="N282" s="3">
        <v>45873</v>
      </c>
      <c r="O282">
        <v>353.06</v>
      </c>
      <c r="P282" t="s">
        <v>56</v>
      </c>
      <c r="Q282" t="s">
        <v>80</v>
      </c>
      <c r="R282" t="s">
        <v>103</v>
      </c>
      <c r="S282" t="s">
        <v>99</v>
      </c>
      <c r="U282" t="s">
        <v>71</v>
      </c>
      <c r="V282" t="b">
        <v>1</v>
      </c>
      <c r="W282">
        <v>0</v>
      </c>
      <c r="X282">
        <v>0</v>
      </c>
      <c r="Y282" t="s">
        <v>14</v>
      </c>
    </row>
    <row r="283" spans="1:25">
      <c r="A283" t="s">
        <v>389</v>
      </c>
      <c r="B283" t="s">
        <v>389</v>
      </c>
      <c r="C283" t="s">
        <v>92</v>
      </c>
      <c r="D283" t="s">
        <v>93</v>
      </c>
      <c r="E283" s="3">
        <v>45882</v>
      </c>
      <c r="F283">
        <v>30.59</v>
      </c>
      <c r="G283" t="s">
        <v>56</v>
      </c>
      <c r="H283" t="s">
        <v>80</v>
      </c>
      <c r="I283" t="s">
        <v>103</v>
      </c>
      <c r="J283" t="s">
        <v>81</v>
      </c>
      <c r="K283" t="s">
        <v>105</v>
      </c>
      <c r="L283" t="s">
        <v>94</v>
      </c>
      <c r="M283" t="s">
        <v>95</v>
      </c>
      <c r="N283" s="3">
        <v>45882</v>
      </c>
      <c r="O283">
        <v>30.59</v>
      </c>
      <c r="P283" t="s">
        <v>56</v>
      </c>
      <c r="Q283" t="s">
        <v>80</v>
      </c>
      <c r="R283" t="s">
        <v>103</v>
      </c>
      <c r="S283" t="s">
        <v>81</v>
      </c>
      <c r="T283" t="s">
        <v>105</v>
      </c>
      <c r="U283" t="s">
        <v>92</v>
      </c>
      <c r="V283" t="b">
        <v>1</v>
      </c>
      <c r="W283">
        <v>0</v>
      </c>
      <c r="X283">
        <v>0</v>
      </c>
      <c r="Y283" t="s">
        <v>14</v>
      </c>
    </row>
    <row r="284" spans="1:25">
      <c r="A284" t="s">
        <v>390</v>
      </c>
      <c r="B284" t="s">
        <v>390</v>
      </c>
      <c r="C284" t="s">
        <v>92</v>
      </c>
      <c r="D284" t="s">
        <v>93</v>
      </c>
      <c r="E284" s="3">
        <v>45907</v>
      </c>
      <c r="F284">
        <v>-57.81</v>
      </c>
      <c r="G284" t="s">
        <v>56</v>
      </c>
      <c r="H284" t="s">
        <v>65</v>
      </c>
      <c r="I284" t="s">
        <v>103</v>
      </c>
      <c r="J284" t="s">
        <v>109</v>
      </c>
      <c r="K284" t="s">
        <v>138</v>
      </c>
      <c r="L284" t="s">
        <v>94</v>
      </c>
      <c r="M284" t="s">
        <v>95</v>
      </c>
      <c r="N284" s="3">
        <v>45907</v>
      </c>
      <c r="O284">
        <v>-57.81</v>
      </c>
      <c r="P284" t="s">
        <v>56</v>
      </c>
      <c r="Q284" t="s">
        <v>65</v>
      </c>
      <c r="R284" t="s">
        <v>103</v>
      </c>
      <c r="S284" t="s">
        <v>109</v>
      </c>
      <c r="T284" t="s">
        <v>138</v>
      </c>
      <c r="U284" t="s">
        <v>92</v>
      </c>
      <c r="V284" t="b">
        <v>1</v>
      </c>
      <c r="W284">
        <v>0</v>
      </c>
      <c r="X284">
        <v>0</v>
      </c>
      <c r="Y284" t="s">
        <v>14</v>
      </c>
    </row>
    <row r="285" spans="1:25">
      <c r="A285" t="s">
        <v>391</v>
      </c>
      <c r="B285" t="s">
        <v>391</v>
      </c>
      <c r="C285" t="s">
        <v>150</v>
      </c>
      <c r="D285" t="s">
        <v>151</v>
      </c>
      <c r="E285" s="3">
        <v>45894</v>
      </c>
      <c r="F285">
        <v>444.26</v>
      </c>
      <c r="G285" t="s">
        <v>56</v>
      </c>
      <c r="H285" t="s">
        <v>57</v>
      </c>
      <c r="I285" t="s">
        <v>58</v>
      </c>
      <c r="J285" t="s">
        <v>117</v>
      </c>
      <c r="K285" t="s">
        <v>105</v>
      </c>
      <c r="L285" t="s">
        <v>152</v>
      </c>
      <c r="M285" t="s">
        <v>153</v>
      </c>
      <c r="N285" s="3">
        <v>45897</v>
      </c>
      <c r="O285">
        <v>446.19</v>
      </c>
      <c r="P285" t="s">
        <v>56</v>
      </c>
      <c r="Q285" t="s">
        <v>57</v>
      </c>
      <c r="R285" t="s">
        <v>58</v>
      </c>
      <c r="S285" t="s">
        <v>117</v>
      </c>
      <c r="T285" t="s">
        <v>105</v>
      </c>
      <c r="U285" t="s">
        <v>150</v>
      </c>
      <c r="V285" t="b">
        <v>1</v>
      </c>
      <c r="W285">
        <v>-1.93</v>
      </c>
      <c r="X285">
        <v>-3</v>
      </c>
      <c r="Y285" t="s">
        <v>17</v>
      </c>
    </row>
    <row r="286" spans="1:25">
      <c r="A286" t="s">
        <v>392</v>
      </c>
      <c r="B286" t="s">
        <v>392</v>
      </c>
      <c r="C286" t="s">
        <v>92</v>
      </c>
      <c r="D286" t="s">
        <v>93</v>
      </c>
      <c r="E286" s="3">
        <v>45913</v>
      </c>
      <c r="F286">
        <v>690.16</v>
      </c>
      <c r="G286" t="s">
        <v>56</v>
      </c>
      <c r="H286" t="s">
        <v>57</v>
      </c>
      <c r="I286" t="s">
        <v>77</v>
      </c>
      <c r="J286" t="s">
        <v>99</v>
      </c>
      <c r="K286" t="s">
        <v>107</v>
      </c>
      <c r="L286" t="s">
        <v>125</v>
      </c>
      <c r="M286" t="s">
        <v>126</v>
      </c>
      <c r="N286" s="3">
        <v>45913</v>
      </c>
      <c r="O286">
        <v>690.16</v>
      </c>
      <c r="P286" t="s">
        <v>56</v>
      </c>
      <c r="Q286" t="s">
        <v>57</v>
      </c>
      <c r="R286" t="s">
        <v>77</v>
      </c>
      <c r="S286" t="s">
        <v>99</v>
      </c>
      <c r="T286" t="s">
        <v>107</v>
      </c>
      <c r="U286" t="s">
        <v>92</v>
      </c>
      <c r="V286" t="b">
        <v>1</v>
      </c>
      <c r="W286">
        <v>0</v>
      </c>
      <c r="X286">
        <v>0</v>
      </c>
      <c r="Y286" t="s">
        <v>14</v>
      </c>
    </row>
    <row r="287" spans="1:25">
      <c r="A287" t="s">
        <v>393</v>
      </c>
      <c r="B287" t="s">
        <v>393</v>
      </c>
      <c r="C287" t="s">
        <v>63</v>
      </c>
      <c r="D287" t="s">
        <v>64</v>
      </c>
      <c r="E287" s="3">
        <v>45859</v>
      </c>
      <c r="F287">
        <v>-477.73</v>
      </c>
      <c r="G287" t="s">
        <v>56</v>
      </c>
      <c r="H287" t="s">
        <v>73</v>
      </c>
      <c r="I287" t="s">
        <v>58</v>
      </c>
      <c r="K287" t="s">
        <v>59</v>
      </c>
      <c r="L287" t="s">
        <v>82</v>
      </c>
      <c r="M287" t="s">
        <v>83</v>
      </c>
      <c r="N287" s="3">
        <v>45859</v>
      </c>
      <c r="O287">
        <v>-477.73</v>
      </c>
      <c r="P287" t="s">
        <v>56</v>
      </c>
      <c r="Q287" t="s">
        <v>73</v>
      </c>
      <c r="R287" t="s">
        <v>58</v>
      </c>
      <c r="T287" t="s">
        <v>59</v>
      </c>
      <c r="U287" t="s">
        <v>63</v>
      </c>
      <c r="V287" t="b">
        <v>1</v>
      </c>
      <c r="W287">
        <v>0</v>
      </c>
      <c r="X287">
        <v>0</v>
      </c>
      <c r="Y287" t="s">
        <v>14</v>
      </c>
    </row>
    <row r="288" spans="1:25">
      <c r="A288" t="s">
        <v>394</v>
      </c>
      <c r="B288" t="s">
        <v>394</v>
      </c>
      <c r="C288" t="s">
        <v>92</v>
      </c>
      <c r="D288" t="s">
        <v>93</v>
      </c>
      <c r="E288" s="3">
        <v>45896</v>
      </c>
      <c r="F288">
        <v>-617.94000000000005</v>
      </c>
      <c r="G288" t="s">
        <v>56</v>
      </c>
      <c r="H288" t="s">
        <v>65</v>
      </c>
      <c r="I288" t="s">
        <v>58</v>
      </c>
      <c r="J288" t="s">
        <v>81</v>
      </c>
      <c r="K288" t="s">
        <v>107</v>
      </c>
      <c r="L288" t="s">
        <v>125</v>
      </c>
      <c r="M288" t="s">
        <v>126</v>
      </c>
      <c r="N288" s="3">
        <v>45896</v>
      </c>
      <c r="O288">
        <v>-617.94000000000005</v>
      </c>
      <c r="P288" t="s">
        <v>56</v>
      </c>
      <c r="Q288" t="s">
        <v>65</v>
      </c>
      <c r="R288" t="s">
        <v>58</v>
      </c>
      <c r="S288" t="s">
        <v>81</v>
      </c>
      <c r="T288" t="s">
        <v>107</v>
      </c>
      <c r="U288" t="s">
        <v>92</v>
      </c>
      <c r="V288" t="b">
        <v>1</v>
      </c>
      <c r="W288">
        <v>0</v>
      </c>
      <c r="X288">
        <v>0</v>
      </c>
      <c r="Y288" t="s">
        <v>14</v>
      </c>
    </row>
    <row r="289" spans="1:25">
      <c r="A289" t="s">
        <v>395</v>
      </c>
      <c r="B289" t="s">
        <v>395</v>
      </c>
      <c r="C289" t="s">
        <v>92</v>
      </c>
      <c r="D289" t="s">
        <v>93</v>
      </c>
      <c r="E289" s="3">
        <v>45897</v>
      </c>
      <c r="F289">
        <v>224.63</v>
      </c>
      <c r="G289" t="s">
        <v>56</v>
      </c>
      <c r="H289" t="s">
        <v>57</v>
      </c>
      <c r="I289" t="s">
        <v>97</v>
      </c>
      <c r="K289" t="s">
        <v>107</v>
      </c>
      <c r="L289" t="s">
        <v>94</v>
      </c>
      <c r="M289" t="s">
        <v>95</v>
      </c>
      <c r="N289" s="3">
        <v>45897</v>
      </c>
      <c r="O289">
        <v>224.63</v>
      </c>
      <c r="P289" t="s">
        <v>56</v>
      </c>
      <c r="Q289" t="s">
        <v>57</v>
      </c>
      <c r="R289" t="s">
        <v>97</v>
      </c>
      <c r="T289" t="s">
        <v>107</v>
      </c>
      <c r="U289" t="s">
        <v>92</v>
      </c>
      <c r="V289" t="b">
        <v>1</v>
      </c>
      <c r="W289">
        <v>0</v>
      </c>
      <c r="X289">
        <v>0</v>
      </c>
      <c r="Y289" t="s">
        <v>14</v>
      </c>
    </row>
    <row r="290" spans="1:25">
      <c r="A290" t="s">
        <v>396</v>
      </c>
      <c r="B290" t="s">
        <v>396</v>
      </c>
      <c r="C290" t="s">
        <v>71</v>
      </c>
      <c r="D290" t="s">
        <v>72</v>
      </c>
      <c r="E290" s="3">
        <v>45906</v>
      </c>
      <c r="F290">
        <v>-164.66</v>
      </c>
      <c r="G290" t="s">
        <v>56</v>
      </c>
      <c r="H290" t="s">
        <v>57</v>
      </c>
      <c r="I290" t="s">
        <v>103</v>
      </c>
      <c r="L290" t="s">
        <v>74</v>
      </c>
      <c r="M290" t="s">
        <v>75</v>
      </c>
      <c r="N290" s="3">
        <v>45906</v>
      </c>
      <c r="O290">
        <v>-164.66</v>
      </c>
      <c r="P290" t="s">
        <v>56</v>
      </c>
      <c r="Q290" t="s">
        <v>57</v>
      </c>
      <c r="R290" t="s">
        <v>103</v>
      </c>
      <c r="U290" t="s">
        <v>71</v>
      </c>
      <c r="V290" t="b">
        <v>1</v>
      </c>
      <c r="W290">
        <v>0</v>
      </c>
      <c r="X290">
        <v>0</v>
      </c>
      <c r="Y290" t="s">
        <v>14</v>
      </c>
    </row>
    <row r="291" spans="1:25">
      <c r="A291" t="s">
        <v>397</v>
      </c>
      <c r="B291" t="s">
        <v>397</v>
      </c>
      <c r="C291" t="s">
        <v>150</v>
      </c>
      <c r="D291" t="s">
        <v>151</v>
      </c>
      <c r="E291" s="3">
        <v>45907</v>
      </c>
      <c r="F291">
        <v>-721.43</v>
      </c>
      <c r="G291" t="s">
        <v>56</v>
      </c>
      <c r="H291" t="s">
        <v>80</v>
      </c>
      <c r="I291" t="s">
        <v>103</v>
      </c>
      <c r="J291" t="s">
        <v>81</v>
      </c>
      <c r="K291" t="s">
        <v>67</v>
      </c>
      <c r="L291" t="s">
        <v>152</v>
      </c>
      <c r="M291" t="s">
        <v>153</v>
      </c>
      <c r="N291" s="3">
        <v>45907</v>
      </c>
      <c r="O291">
        <v>-721.43</v>
      </c>
      <c r="P291" t="s">
        <v>56</v>
      </c>
      <c r="Q291" t="s">
        <v>80</v>
      </c>
      <c r="R291" t="s">
        <v>103</v>
      </c>
      <c r="S291" t="s">
        <v>81</v>
      </c>
      <c r="T291" t="s">
        <v>67</v>
      </c>
      <c r="U291" t="s">
        <v>150</v>
      </c>
      <c r="V291" t="b">
        <v>1</v>
      </c>
      <c r="W291">
        <v>0</v>
      </c>
      <c r="X291">
        <v>0</v>
      </c>
      <c r="Y291" t="s">
        <v>14</v>
      </c>
    </row>
    <row r="292" spans="1:25">
      <c r="A292" t="s">
        <v>398</v>
      </c>
      <c r="B292" t="s">
        <v>398</v>
      </c>
      <c r="C292" t="s">
        <v>63</v>
      </c>
      <c r="D292" t="s">
        <v>64</v>
      </c>
      <c r="E292" s="3">
        <v>45877</v>
      </c>
      <c r="F292">
        <v>-623.04</v>
      </c>
      <c r="G292" t="s">
        <v>56</v>
      </c>
      <c r="H292" t="s">
        <v>57</v>
      </c>
      <c r="I292" t="s">
        <v>77</v>
      </c>
      <c r="J292" t="s">
        <v>85</v>
      </c>
      <c r="K292" t="s">
        <v>59</v>
      </c>
      <c r="L292" t="s">
        <v>82</v>
      </c>
      <c r="M292" t="s">
        <v>83</v>
      </c>
      <c r="N292" s="3">
        <v>45877</v>
      </c>
      <c r="O292">
        <v>-623.04</v>
      </c>
      <c r="P292" t="s">
        <v>56</v>
      </c>
      <c r="Q292" t="s">
        <v>57</v>
      </c>
      <c r="R292" t="s">
        <v>77</v>
      </c>
      <c r="S292" t="s">
        <v>85</v>
      </c>
      <c r="T292" t="s">
        <v>59</v>
      </c>
      <c r="U292" t="s">
        <v>63</v>
      </c>
      <c r="V292" t="b">
        <v>1</v>
      </c>
      <c r="W292">
        <v>0</v>
      </c>
      <c r="X292">
        <v>0</v>
      </c>
      <c r="Y292" t="s">
        <v>14</v>
      </c>
    </row>
    <row r="293" spans="1:25">
      <c r="A293" t="s">
        <v>399</v>
      </c>
      <c r="B293" t="s">
        <v>399</v>
      </c>
      <c r="C293" t="s">
        <v>63</v>
      </c>
      <c r="D293" t="s">
        <v>64</v>
      </c>
      <c r="E293" s="3">
        <v>45909</v>
      </c>
      <c r="F293">
        <v>-492.37</v>
      </c>
      <c r="G293" t="s">
        <v>56</v>
      </c>
      <c r="H293" t="s">
        <v>73</v>
      </c>
      <c r="I293" t="s">
        <v>77</v>
      </c>
      <c r="J293" t="s">
        <v>117</v>
      </c>
      <c r="K293" t="s">
        <v>107</v>
      </c>
      <c r="L293" t="s">
        <v>82</v>
      </c>
      <c r="M293" t="s">
        <v>83</v>
      </c>
      <c r="N293" s="3">
        <v>45909</v>
      </c>
      <c r="O293">
        <v>-492.37</v>
      </c>
      <c r="P293" t="s">
        <v>56</v>
      </c>
      <c r="Q293" t="s">
        <v>73</v>
      </c>
      <c r="R293" t="s">
        <v>77</v>
      </c>
      <c r="S293" t="s">
        <v>117</v>
      </c>
      <c r="T293" t="s">
        <v>107</v>
      </c>
      <c r="U293" t="s">
        <v>63</v>
      </c>
      <c r="V293" t="b">
        <v>1</v>
      </c>
      <c r="W293">
        <v>0</v>
      </c>
      <c r="X293">
        <v>0</v>
      </c>
      <c r="Y293" t="s">
        <v>14</v>
      </c>
    </row>
    <row r="294" spans="1:25">
      <c r="A294" t="s">
        <v>400</v>
      </c>
      <c r="B294" t="s">
        <v>400</v>
      </c>
      <c r="C294" t="s">
        <v>63</v>
      </c>
      <c r="D294" t="s">
        <v>64</v>
      </c>
      <c r="E294" s="3">
        <v>45900</v>
      </c>
      <c r="F294">
        <v>-820.52</v>
      </c>
      <c r="G294" t="s">
        <v>56</v>
      </c>
      <c r="H294" t="s">
        <v>65</v>
      </c>
      <c r="I294" t="s">
        <v>77</v>
      </c>
      <c r="K294" t="s">
        <v>67</v>
      </c>
      <c r="L294" t="s">
        <v>82</v>
      </c>
      <c r="M294" t="s">
        <v>83</v>
      </c>
      <c r="N294" s="3">
        <v>45900</v>
      </c>
      <c r="O294">
        <v>-820.52</v>
      </c>
      <c r="P294" t="s">
        <v>56</v>
      </c>
      <c r="Q294" t="s">
        <v>65</v>
      </c>
      <c r="R294" t="s">
        <v>77</v>
      </c>
      <c r="T294" t="s">
        <v>67</v>
      </c>
      <c r="U294" t="s">
        <v>63</v>
      </c>
      <c r="V294" t="b">
        <v>1</v>
      </c>
      <c r="W294">
        <v>0</v>
      </c>
      <c r="X294">
        <v>0</v>
      </c>
      <c r="Y294" t="s">
        <v>14</v>
      </c>
    </row>
    <row r="295" spans="1:25">
      <c r="A295" t="s">
        <v>401</v>
      </c>
      <c r="B295" t="s">
        <v>401</v>
      </c>
      <c r="C295" t="s">
        <v>92</v>
      </c>
      <c r="D295" t="s">
        <v>93</v>
      </c>
      <c r="E295" s="3">
        <v>45863</v>
      </c>
      <c r="F295">
        <v>-262.2</v>
      </c>
      <c r="G295" t="s">
        <v>56</v>
      </c>
      <c r="H295" t="s">
        <v>73</v>
      </c>
      <c r="I295" t="s">
        <v>97</v>
      </c>
      <c r="J295" t="s">
        <v>81</v>
      </c>
      <c r="K295" t="s">
        <v>105</v>
      </c>
      <c r="L295" t="s">
        <v>125</v>
      </c>
      <c r="M295" t="s">
        <v>126</v>
      </c>
      <c r="N295" s="3">
        <v>45866</v>
      </c>
      <c r="O295">
        <v>-254.48</v>
      </c>
      <c r="P295" t="s">
        <v>56</v>
      </c>
      <c r="Q295" t="s">
        <v>73</v>
      </c>
      <c r="R295" t="s">
        <v>97</v>
      </c>
      <c r="S295" t="s">
        <v>81</v>
      </c>
      <c r="T295" t="s">
        <v>105</v>
      </c>
      <c r="U295" t="s">
        <v>92</v>
      </c>
      <c r="V295" t="b">
        <v>1</v>
      </c>
      <c r="W295">
        <v>-7.72</v>
      </c>
      <c r="X295">
        <v>-3</v>
      </c>
      <c r="Y295" t="s">
        <v>17</v>
      </c>
    </row>
    <row r="296" spans="1:25">
      <c r="A296" t="s">
        <v>402</v>
      </c>
      <c r="B296" t="s">
        <v>402</v>
      </c>
      <c r="C296" t="s">
        <v>63</v>
      </c>
      <c r="D296" t="s">
        <v>64</v>
      </c>
      <c r="E296" s="3">
        <v>45884</v>
      </c>
      <c r="F296">
        <v>-394.93</v>
      </c>
      <c r="G296" t="s">
        <v>56</v>
      </c>
      <c r="H296" t="s">
        <v>57</v>
      </c>
      <c r="I296" t="s">
        <v>58</v>
      </c>
      <c r="J296" t="s">
        <v>81</v>
      </c>
      <c r="L296" t="s">
        <v>82</v>
      </c>
      <c r="M296" t="s">
        <v>83</v>
      </c>
      <c r="N296" s="3">
        <v>45882</v>
      </c>
      <c r="O296">
        <v>-387.63</v>
      </c>
      <c r="P296" t="s">
        <v>56</v>
      </c>
      <c r="Q296" t="s">
        <v>57</v>
      </c>
      <c r="R296" t="s">
        <v>58</v>
      </c>
      <c r="S296" t="s">
        <v>81</v>
      </c>
      <c r="U296" t="s">
        <v>63</v>
      </c>
      <c r="V296" t="b">
        <v>1</v>
      </c>
      <c r="W296">
        <v>-7.3</v>
      </c>
      <c r="X296">
        <v>2</v>
      </c>
      <c r="Y296" t="s">
        <v>17</v>
      </c>
    </row>
    <row r="297" spans="1:25">
      <c r="A297" t="s">
        <v>403</v>
      </c>
      <c r="B297" t="s">
        <v>403</v>
      </c>
      <c r="C297" t="s">
        <v>63</v>
      </c>
      <c r="D297" t="s">
        <v>64</v>
      </c>
      <c r="E297" s="3">
        <v>45865</v>
      </c>
      <c r="F297">
        <v>756.59</v>
      </c>
      <c r="G297" t="s">
        <v>56</v>
      </c>
      <c r="H297" t="s">
        <v>80</v>
      </c>
      <c r="I297" t="s">
        <v>97</v>
      </c>
      <c r="J297" t="s">
        <v>117</v>
      </c>
      <c r="K297" t="s">
        <v>105</v>
      </c>
      <c r="L297" t="s">
        <v>68</v>
      </c>
      <c r="M297" t="s">
        <v>69</v>
      </c>
      <c r="N297" s="3">
        <v>45865</v>
      </c>
      <c r="O297">
        <v>756.59</v>
      </c>
      <c r="P297" t="s">
        <v>56</v>
      </c>
      <c r="Q297" t="s">
        <v>80</v>
      </c>
      <c r="R297" t="s">
        <v>97</v>
      </c>
      <c r="S297" t="s">
        <v>117</v>
      </c>
      <c r="T297" t="s">
        <v>105</v>
      </c>
      <c r="U297" t="s">
        <v>63</v>
      </c>
      <c r="V297" t="b">
        <v>1</v>
      </c>
      <c r="W297">
        <v>0</v>
      </c>
      <c r="X297">
        <v>0</v>
      </c>
      <c r="Y297" t="s">
        <v>14</v>
      </c>
    </row>
    <row r="298" spans="1:25">
      <c r="A298" t="s">
        <v>404</v>
      </c>
      <c r="B298" t="s">
        <v>404</v>
      </c>
      <c r="C298" t="s">
        <v>150</v>
      </c>
      <c r="D298" t="s">
        <v>151</v>
      </c>
      <c r="E298" s="3">
        <v>45916</v>
      </c>
      <c r="F298">
        <v>-959.45</v>
      </c>
      <c r="G298" t="s">
        <v>56</v>
      </c>
      <c r="H298" t="s">
        <v>65</v>
      </c>
      <c r="I298" t="s">
        <v>58</v>
      </c>
      <c r="J298" t="s">
        <v>99</v>
      </c>
      <c r="K298" t="s">
        <v>105</v>
      </c>
      <c r="L298" t="s">
        <v>152</v>
      </c>
      <c r="M298" t="s">
        <v>153</v>
      </c>
      <c r="N298" s="3">
        <v>45916</v>
      </c>
      <c r="O298">
        <v>-959.45</v>
      </c>
      <c r="P298" t="s">
        <v>56</v>
      </c>
      <c r="Q298" t="s">
        <v>65</v>
      </c>
      <c r="R298" t="s">
        <v>58</v>
      </c>
      <c r="S298" t="s">
        <v>99</v>
      </c>
      <c r="T298" t="s">
        <v>105</v>
      </c>
      <c r="U298" t="s">
        <v>150</v>
      </c>
      <c r="V298" t="b">
        <v>1</v>
      </c>
      <c r="W298">
        <v>0</v>
      </c>
      <c r="X298">
        <v>0</v>
      </c>
      <c r="Y298" t="s">
        <v>14</v>
      </c>
    </row>
    <row r="299" spans="1:25">
      <c r="A299" t="s">
        <v>405</v>
      </c>
      <c r="B299" t="s">
        <v>405</v>
      </c>
      <c r="C299" t="s">
        <v>92</v>
      </c>
      <c r="D299" t="s">
        <v>93</v>
      </c>
      <c r="E299" s="3">
        <v>45902</v>
      </c>
      <c r="F299">
        <v>502.11</v>
      </c>
      <c r="G299" t="s">
        <v>56</v>
      </c>
      <c r="H299" t="s">
        <v>80</v>
      </c>
      <c r="I299" t="s">
        <v>58</v>
      </c>
      <c r="J299" t="s">
        <v>109</v>
      </c>
      <c r="K299" t="s">
        <v>107</v>
      </c>
      <c r="L299" t="s">
        <v>125</v>
      </c>
      <c r="M299" t="s">
        <v>126</v>
      </c>
      <c r="N299" s="3">
        <v>45902</v>
      </c>
      <c r="O299">
        <v>502.11</v>
      </c>
      <c r="P299" t="s">
        <v>56</v>
      </c>
      <c r="Q299" t="s">
        <v>80</v>
      </c>
      <c r="R299" t="s">
        <v>58</v>
      </c>
      <c r="S299" t="s">
        <v>109</v>
      </c>
      <c r="T299" t="s">
        <v>107</v>
      </c>
      <c r="U299" t="s">
        <v>92</v>
      </c>
      <c r="V299" t="b">
        <v>1</v>
      </c>
      <c r="W299">
        <v>0</v>
      </c>
      <c r="X299">
        <v>0</v>
      </c>
      <c r="Y299" t="s">
        <v>14</v>
      </c>
    </row>
    <row r="300" spans="1:25">
      <c r="A300" t="s">
        <v>406</v>
      </c>
      <c r="B300" t="s">
        <v>406</v>
      </c>
      <c r="C300" t="s">
        <v>63</v>
      </c>
      <c r="D300" t="s">
        <v>64</v>
      </c>
      <c r="E300" s="3">
        <v>45860</v>
      </c>
      <c r="F300">
        <v>-919.88</v>
      </c>
      <c r="G300" t="s">
        <v>56</v>
      </c>
      <c r="H300" t="s">
        <v>57</v>
      </c>
      <c r="I300" t="s">
        <v>77</v>
      </c>
      <c r="J300" t="s">
        <v>99</v>
      </c>
      <c r="K300" t="s">
        <v>138</v>
      </c>
      <c r="L300" t="s">
        <v>82</v>
      </c>
      <c r="M300" t="s">
        <v>83</v>
      </c>
      <c r="N300" s="3">
        <v>45860</v>
      </c>
      <c r="O300">
        <v>-919.88</v>
      </c>
      <c r="P300" t="s">
        <v>56</v>
      </c>
      <c r="Q300" t="s">
        <v>57</v>
      </c>
      <c r="R300" t="s">
        <v>77</v>
      </c>
      <c r="S300" t="s">
        <v>99</v>
      </c>
      <c r="T300" t="s">
        <v>138</v>
      </c>
      <c r="U300" t="s">
        <v>63</v>
      </c>
      <c r="V300" t="b">
        <v>1</v>
      </c>
      <c r="W300">
        <v>0</v>
      </c>
      <c r="X300">
        <v>0</v>
      </c>
      <c r="Y300" t="s">
        <v>14</v>
      </c>
    </row>
    <row r="301" spans="1:25">
      <c r="A301" t="s">
        <v>407</v>
      </c>
      <c r="B301" t="s">
        <v>407</v>
      </c>
      <c r="C301" t="s">
        <v>119</v>
      </c>
      <c r="D301" t="s">
        <v>120</v>
      </c>
      <c r="E301" s="3">
        <v>45867</v>
      </c>
      <c r="F301">
        <v>349.37</v>
      </c>
      <c r="G301" t="s">
        <v>56</v>
      </c>
      <c r="H301" t="s">
        <v>73</v>
      </c>
      <c r="I301" t="s">
        <v>58</v>
      </c>
      <c r="J301" t="s">
        <v>99</v>
      </c>
      <c r="K301" t="s">
        <v>138</v>
      </c>
      <c r="L301" t="s">
        <v>121</v>
      </c>
      <c r="M301" t="s">
        <v>122</v>
      </c>
      <c r="N301" s="3">
        <v>45867</v>
      </c>
      <c r="O301">
        <v>349.37</v>
      </c>
      <c r="P301" t="s">
        <v>56</v>
      </c>
      <c r="Q301" t="s">
        <v>73</v>
      </c>
      <c r="R301" t="s">
        <v>58</v>
      </c>
      <c r="S301" t="s">
        <v>99</v>
      </c>
      <c r="T301" t="s">
        <v>138</v>
      </c>
      <c r="U301" t="s">
        <v>119</v>
      </c>
      <c r="V301" t="b">
        <v>1</v>
      </c>
      <c r="W301">
        <v>0</v>
      </c>
      <c r="X301">
        <v>0</v>
      </c>
      <c r="Y301" t="s">
        <v>14</v>
      </c>
    </row>
    <row r="302" spans="1:25">
      <c r="A302" t="s">
        <v>408</v>
      </c>
      <c r="C302" t="s">
        <v>409</v>
      </c>
      <c r="D302" t="s">
        <v>410</v>
      </c>
      <c r="E302" s="3">
        <v>45915</v>
      </c>
      <c r="F302">
        <v>600.89</v>
      </c>
      <c r="G302" t="s">
        <v>56</v>
      </c>
      <c r="H302" t="s">
        <v>80</v>
      </c>
      <c r="I302" t="s">
        <v>103</v>
      </c>
      <c r="J302" t="s">
        <v>81</v>
      </c>
      <c r="K302" t="s">
        <v>411</v>
      </c>
      <c r="V302" t="b">
        <v>0</v>
      </c>
      <c r="Y302" t="s">
        <v>18</v>
      </c>
    </row>
    <row r="303" spans="1:25">
      <c r="A303" t="s">
        <v>412</v>
      </c>
      <c r="C303" t="s">
        <v>54</v>
      </c>
      <c r="D303" t="s">
        <v>55</v>
      </c>
      <c r="E303" s="3">
        <v>45892</v>
      </c>
      <c r="F303">
        <v>539.84</v>
      </c>
      <c r="G303" t="s">
        <v>56</v>
      </c>
      <c r="H303" t="s">
        <v>73</v>
      </c>
      <c r="I303" t="s">
        <v>103</v>
      </c>
      <c r="J303" t="s">
        <v>85</v>
      </c>
      <c r="K303" t="s">
        <v>413</v>
      </c>
      <c r="V303" t="b">
        <v>0</v>
      </c>
      <c r="Y303" t="s">
        <v>18</v>
      </c>
    </row>
    <row r="304" spans="1:25">
      <c r="A304" t="s">
        <v>414</v>
      </c>
      <c r="C304" t="s">
        <v>119</v>
      </c>
      <c r="D304" t="s">
        <v>120</v>
      </c>
      <c r="E304" s="3">
        <v>45891</v>
      </c>
      <c r="F304">
        <v>-278.74</v>
      </c>
      <c r="G304" t="s">
        <v>56</v>
      </c>
      <c r="H304" t="s">
        <v>73</v>
      </c>
      <c r="I304" t="s">
        <v>58</v>
      </c>
      <c r="J304" t="s">
        <v>99</v>
      </c>
      <c r="K304" t="s">
        <v>415</v>
      </c>
      <c r="V304" t="b">
        <v>0</v>
      </c>
      <c r="Y304" t="s">
        <v>18</v>
      </c>
    </row>
    <row r="305" spans="1:25">
      <c r="A305" t="s">
        <v>416</v>
      </c>
      <c r="C305" t="s">
        <v>409</v>
      </c>
      <c r="D305" t="s">
        <v>410</v>
      </c>
      <c r="E305" s="3">
        <v>45860</v>
      </c>
      <c r="F305">
        <v>98.2</v>
      </c>
      <c r="G305" t="s">
        <v>56</v>
      </c>
      <c r="H305" t="s">
        <v>65</v>
      </c>
      <c r="I305" t="s">
        <v>58</v>
      </c>
      <c r="J305" t="s">
        <v>85</v>
      </c>
      <c r="K305" t="s">
        <v>413</v>
      </c>
      <c r="V305" t="b">
        <v>0</v>
      </c>
      <c r="Y305" t="s">
        <v>18</v>
      </c>
    </row>
    <row r="306" spans="1:25">
      <c r="A306" t="s">
        <v>417</v>
      </c>
      <c r="C306" t="s">
        <v>119</v>
      </c>
      <c r="D306" t="s">
        <v>120</v>
      </c>
      <c r="E306" s="3">
        <v>45871</v>
      </c>
      <c r="F306">
        <v>509.6</v>
      </c>
      <c r="G306" t="s">
        <v>56</v>
      </c>
      <c r="H306" t="s">
        <v>65</v>
      </c>
      <c r="I306" t="s">
        <v>77</v>
      </c>
      <c r="J306" t="s">
        <v>99</v>
      </c>
      <c r="K306" t="s">
        <v>411</v>
      </c>
      <c r="V306" t="b">
        <v>0</v>
      </c>
      <c r="Y306" t="s">
        <v>18</v>
      </c>
    </row>
    <row r="307" spans="1:25">
      <c r="A307" t="s">
        <v>418</v>
      </c>
      <c r="C307" t="s">
        <v>409</v>
      </c>
      <c r="D307" t="s">
        <v>410</v>
      </c>
      <c r="E307" s="3">
        <v>45907</v>
      </c>
      <c r="F307">
        <v>885.62</v>
      </c>
      <c r="G307" t="s">
        <v>56</v>
      </c>
      <c r="H307" t="s">
        <v>65</v>
      </c>
      <c r="I307" t="s">
        <v>77</v>
      </c>
      <c r="K307" t="s">
        <v>415</v>
      </c>
      <c r="V307" t="b">
        <v>0</v>
      </c>
      <c r="Y307" t="s">
        <v>18</v>
      </c>
    </row>
    <row r="308" spans="1:25">
      <c r="A308" t="s">
        <v>419</v>
      </c>
      <c r="C308" t="s">
        <v>71</v>
      </c>
      <c r="D308" t="s">
        <v>72</v>
      </c>
      <c r="E308" s="3">
        <v>45911</v>
      </c>
      <c r="F308">
        <v>485</v>
      </c>
      <c r="G308" t="s">
        <v>56</v>
      </c>
      <c r="H308" t="s">
        <v>57</v>
      </c>
      <c r="I308" t="s">
        <v>77</v>
      </c>
      <c r="K308" t="s">
        <v>413</v>
      </c>
      <c r="V308" t="b">
        <v>0</v>
      </c>
      <c r="Y308" t="s">
        <v>18</v>
      </c>
    </row>
    <row r="309" spans="1:25">
      <c r="A309" t="s">
        <v>420</v>
      </c>
      <c r="C309" t="s">
        <v>87</v>
      </c>
      <c r="D309" t="s">
        <v>88</v>
      </c>
      <c r="E309" s="3">
        <v>45857</v>
      </c>
      <c r="F309">
        <v>142.07</v>
      </c>
      <c r="G309" t="s">
        <v>56</v>
      </c>
      <c r="H309" t="s">
        <v>73</v>
      </c>
      <c r="I309" t="s">
        <v>77</v>
      </c>
      <c r="J309" t="s">
        <v>117</v>
      </c>
      <c r="K309" t="s">
        <v>413</v>
      </c>
      <c r="V309" t="b">
        <v>0</v>
      </c>
      <c r="Y309" t="s">
        <v>18</v>
      </c>
    </row>
    <row r="310" spans="1:25">
      <c r="A310" t="s">
        <v>421</v>
      </c>
      <c r="C310" t="s">
        <v>422</v>
      </c>
      <c r="D310" t="s">
        <v>423</v>
      </c>
      <c r="E310" s="3">
        <v>45871</v>
      </c>
      <c r="F310">
        <v>-534.73</v>
      </c>
      <c r="G310" t="s">
        <v>56</v>
      </c>
      <c r="H310" t="s">
        <v>80</v>
      </c>
      <c r="I310" t="s">
        <v>103</v>
      </c>
      <c r="K310" t="s">
        <v>411</v>
      </c>
      <c r="V310" t="b">
        <v>0</v>
      </c>
      <c r="Y310" t="s">
        <v>18</v>
      </c>
    </row>
    <row r="311" spans="1:25">
      <c r="A311" t="s">
        <v>424</v>
      </c>
      <c r="C311" t="s">
        <v>409</v>
      </c>
      <c r="D311" t="s">
        <v>410</v>
      </c>
      <c r="E311" s="3">
        <v>45893</v>
      </c>
      <c r="F311">
        <v>834.33</v>
      </c>
      <c r="G311" t="s">
        <v>56</v>
      </c>
      <c r="H311" t="s">
        <v>80</v>
      </c>
      <c r="I311" t="s">
        <v>103</v>
      </c>
      <c r="J311" t="s">
        <v>85</v>
      </c>
      <c r="K311" t="s">
        <v>411</v>
      </c>
      <c r="V311" t="b">
        <v>0</v>
      </c>
      <c r="Y311" t="s">
        <v>18</v>
      </c>
    </row>
    <row r="312" spans="1:25">
      <c r="A312" t="s">
        <v>425</v>
      </c>
      <c r="C312" t="s">
        <v>63</v>
      </c>
      <c r="D312" t="s">
        <v>64</v>
      </c>
      <c r="E312" s="3">
        <v>45895</v>
      </c>
      <c r="F312">
        <v>670.81</v>
      </c>
      <c r="G312" t="s">
        <v>56</v>
      </c>
      <c r="H312" t="s">
        <v>73</v>
      </c>
      <c r="I312" t="s">
        <v>58</v>
      </c>
      <c r="J312" t="s">
        <v>109</v>
      </c>
      <c r="K312" t="s">
        <v>415</v>
      </c>
      <c r="V312" t="b">
        <v>0</v>
      </c>
      <c r="Y312" t="s">
        <v>18</v>
      </c>
    </row>
    <row r="313" spans="1:25">
      <c r="A313" t="s">
        <v>426</v>
      </c>
      <c r="C313" t="s">
        <v>54</v>
      </c>
      <c r="D313" t="s">
        <v>55</v>
      </c>
      <c r="E313" s="3">
        <v>45883</v>
      </c>
      <c r="F313">
        <v>748.39</v>
      </c>
      <c r="G313" t="s">
        <v>56</v>
      </c>
      <c r="H313" t="s">
        <v>73</v>
      </c>
      <c r="I313" t="s">
        <v>103</v>
      </c>
      <c r="J313" t="s">
        <v>109</v>
      </c>
      <c r="K313" t="s">
        <v>411</v>
      </c>
      <c r="V313" t="b">
        <v>0</v>
      </c>
      <c r="Y313" t="s">
        <v>18</v>
      </c>
    </row>
    <row r="314" spans="1:25">
      <c r="A314" t="s">
        <v>427</v>
      </c>
      <c r="C314" t="s">
        <v>119</v>
      </c>
      <c r="D314" t="s">
        <v>120</v>
      </c>
      <c r="E314" s="3">
        <v>45868</v>
      </c>
      <c r="F314">
        <v>-292.49</v>
      </c>
      <c r="G314" t="s">
        <v>56</v>
      </c>
      <c r="H314" t="s">
        <v>80</v>
      </c>
      <c r="I314" t="s">
        <v>103</v>
      </c>
      <c r="K314" t="s">
        <v>411</v>
      </c>
      <c r="V314" t="b">
        <v>0</v>
      </c>
      <c r="Y314" t="s">
        <v>18</v>
      </c>
    </row>
    <row r="315" spans="1:25">
      <c r="A315" t="s">
        <v>428</v>
      </c>
      <c r="C315" t="s">
        <v>71</v>
      </c>
      <c r="D315" t="s">
        <v>72</v>
      </c>
      <c r="E315" s="3">
        <v>45868</v>
      </c>
      <c r="F315">
        <v>-467.15</v>
      </c>
      <c r="G315" t="s">
        <v>56</v>
      </c>
      <c r="H315" t="s">
        <v>57</v>
      </c>
      <c r="I315" t="s">
        <v>103</v>
      </c>
      <c r="J315" t="s">
        <v>85</v>
      </c>
      <c r="K315" t="s">
        <v>411</v>
      </c>
      <c r="V315" t="b">
        <v>0</v>
      </c>
      <c r="Y315" t="s">
        <v>18</v>
      </c>
    </row>
    <row r="316" spans="1:25">
      <c r="A316" t="s">
        <v>429</v>
      </c>
      <c r="C316" t="s">
        <v>409</v>
      </c>
      <c r="D316" t="s">
        <v>410</v>
      </c>
      <c r="E316" s="3">
        <v>45882</v>
      </c>
      <c r="F316">
        <v>407.17</v>
      </c>
      <c r="G316" t="s">
        <v>56</v>
      </c>
      <c r="H316" t="s">
        <v>57</v>
      </c>
      <c r="I316" t="s">
        <v>58</v>
      </c>
      <c r="J316" t="s">
        <v>81</v>
      </c>
      <c r="K316" t="s">
        <v>415</v>
      </c>
      <c r="V316" t="b">
        <v>0</v>
      </c>
      <c r="Y316" t="s">
        <v>18</v>
      </c>
    </row>
    <row r="317" spans="1:25">
      <c r="A317" t="s">
        <v>430</v>
      </c>
      <c r="C317" t="s">
        <v>71</v>
      </c>
      <c r="D317" t="s">
        <v>72</v>
      </c>
      <c r="E317" s="3">
        <v>45895</v>
      </c>
      <c r="F317">
        <v>-622.07000000000005</v>
      </c>
      <c r="G317" t="s">
        <v>56</v>
      </c>
      <c r="H317" t="s">
        <v>65</v>
      </c>
      <c r="I317" t="s">
        <v>58</v>
      </c>
      <c r="J317" t="s">
        <v>66</v>
      </c>
      <c r="K317" t="s">
        <v>415</v>
      </c>
      <c r="V317" t="b">
        <v>0</v>
      </c>
      <c r="Y317" t="s">
        <v>18</v>
      </c>
    </row>
    <row r="318" spans="1:25">
      <c r="A318" t="s">
        <v>431</v>
      </c>
      <c r="C318" t="s">
        <v>63</v>
      </c>
      <c r="D318" t="s">
        <v>64</v>
      </c>
      <c r="E318" s="3">
        <v>45898</v>
      </c>
      <c r="F318">
        <v>-333.82</v>
      </c>
      <c r="G318" t="s">
        <v>56</v>
      </c>
      <c r="H318" t="s">
        <v>80</v>
      </c>
      <c r="I318" t="s">
        <v>97</v>
      </c>
      <c r="J318" t="s">
        <v>109</v>
      </c>
      <c r="K318" t="s">
        <v>415</v>
      </c>
      <c r="V318" t="b">
        <v>0</v>
      </c>
      <c r="Y318" t="s">
        <v>18</v>
      </c>
    </row>
    <row r="319" spans="1:25">
      <c r="A319" t="s">
        <v>432</v>
      </c>
      <c r="C319" t="s">
        <v>87</v>
      </c>
      <c r="D319" t="s">
        <v>88</v>
      </c>
      <c r="E319" s="3">
        <v>45869</v>
      </c>
      <c r="F319">
        <v>573.70000000000005</v>
      </c>
      <c r="G319" t="s">
        <v>56</v>
      </c>
      <c r="H319" t="s">
        <v>73</v>
      </c>
      <c r="I319" t="s">
        <v>58</v>
      </c>
      <c r="J319" t="s">
        <v>66</v>
      </c>
      <c r="K319" t="s">
        <v>415</v>
      </c>
      <c r="V319" t="b">
        <v>0</v>
      </c>
      <c r="Y319" t="s">
        <v>18</v>
      </c>
    </row>
    <row r="320" spans="1:25">
      <c r="A320" t="s">
        <v>433</v>
      </c>
      <c r="C320" t="s">
        <v>54</v>
      </c>
      <c r="D320" t="s">
        <v>55</v>
      </c>
      <c r="E320" s="3">
        <v>45871</v>
      </c>
      <c r="F320">
        <v>-221.21</v>
      </c>
      <c r="G320" t="s">
        <v>56</v>
      </c>
      <c r="H320" t="s">
        <v>65</v>
      </c>
      <c r="I320" t="s">
        <v>103</v>
      </c>
      <c r="J320" t="s">
        <v>66</v>
      </c>
      <c r="K320" t="s">
        <v>413</v>
      </c>
      <c r="V320" t="b">
        <v>0</v>
      </c>
      <c r="Y320" t="s">
        <v>18</v>
      </c>
    </row>
    <row r="321" spans="1:25">
      <c r="A321" t="s">
        <v>434</v>
      </c>
      <c r="C321" t="s">
        <v>422</v>
      </c>
      <c r="D321" t="s">
        <v>423</v>
      </c>
      <c r="E321" s="3">
        <v>45871</v>
      </c>
      <c r="F321">
        <v>132.9</v>
      </c>
      <c r="G321" t="s">
        <v>56</v>
      </c>
      <c r="H321" t="s">
        <v>73</v>
      </c>
      <c r="I321" t="s">
        <v>77</v>
      </c>
      <c r="J321" t="s">
        <v>66</v>
      </c>
      <c r="K321" t="s">
        <v>415</v>
      </c>
      <c r="V321" t="b">
        <v>0</v>
      </c>
      <c r="Y321" t="s">
        <v>18</v>
      </c>
    </row>
    <row r="322" spans="1:25">
      <c r="A322" t="s">
        <v>435</v>
      </c>
      <c r="C322" t="s">
        <v>71</v>
      </c>
      <c r="D322" t="s">
        <v>72</v>
      </c>
      <c r="E322" s="3">
        <v>45892</v>
      </c>
      <c r="F322">
        <v>-329.41</v>
      </c>
      <c r="G322" t="s">
        <v>56</v>
      </c>
      <c r="H322" t="s">
        <v>80</v>
      </c>
      <c r="I322" t="s">
        <v>77</v>
      </c>
      <c r="J322" t="s">
        <v>99</v>
      </c>
      <c r="K322" t="s">
        <v>413</v>
      </c>
      <c r="V322" t="b">
        <v>0</v>
      </c>
      <c r="Y322" t="s">
        <v>18</v>
      </c>
    </row>
    <row r="323" spans="1:25">
      <c r="A323" t="s">
        <v>436</v>
      </c>
      <c r="C323" t="s">
        <v>92</v>
      </c>
      <c r="D323" t="s">
        <v>93</v>
      </c>
      <c r="E323" s="3">
        <v>45875</v>
      </c>
      <c r="F323">
        <v>-320.72000000000003</v>
      </c>
      <c r="G323" t="s">
        <v>56</v>
      </c>
      <c r="H323" t="s">
        <v>73</v>
      </c>
      <c r="I323" t="s">
        <v>58</v>
      </c>
      <c r="J323" t="s">
        <v>99</v>
      </c>
      <c r="K323" t="s">
        <v>411</v>
      </c>
      <c r="V323" t="b">
        <v>0</v>
      </c>
      <c r="Y323" t="s">
        <v>18</v>
      </c>
    </row>
    <row r="324" spans="1:25">
      <c r="A324" t="s">
        <v>437</v>
      </c>
      <c r="C324" t="s">
        <v>409</v>
      </c>
      <c r="D324" t="s">
        <v>410</v>
      </c>
      <c r="E324" s="3">
        <v>45891</v>
      </c>
      <c r="F324">
        <v>472.79</v>
      </c>
      <c r="G324" t="s">
        <v>56</v>
      </c>
      <c r="H324" t="s">
        <v>65</v>
      </c>
      <c r="I324" t="s">
        <v>77</v>
      </c>
      <c r="J324" t="s">
        <v>117</v>
      </c>
      <c r="K324" t="s">
        <v>415</v>
      </c>
      <c r="V324" t="b">
        <v>0</v>
      </c>
      <c r="Y324" t="s">
        <v>18</v>
      </c>
    </row>
    <row r="325" spans="1:25">
      <c r="A325" t="s">
        <v>438</v>
      </c>
      <c r="C325" t="s">
        <v>409</v>
      </c>
      <c r="D325" t="s">
        <v>410</v>
      </c>
      <c r="E325" s="3">
        <v>45917</v>
      </c>
      <c r="F325">
        <v>619.95000000000005</v>
      </c>
      <c r="G325" t="s">
        <v>56</v>
      </c>
      <c r="H325" t="s">
        <v>65</v>
      </c>
      <c r="I325" t="s">
        <v>97</v>
      </c>
      <c r="K325" t="s">
        <v>413</v>
      </c>
      <c r="V325" t="b">
        <v>0</v>
      </c>
      <c r="Y325" t="s">
        <v>18</v>
      </c>
    </row>
    <row r="326" spans="1:25">
      <c r="A326" t="s">
        <v>439</v>
      </c>
      <c r="C326" t="s">
        <v>119</v>
      </c>
      <c r="D326" t="s">
        <v>120</v>
      </c>
      <c r="E326" s="3">
        <v>45872</v>
      </c>
      <c r="F326">
        <v>642.49</v>
      </c>
      <c r="G326" t="s">
        <v>56</v>
      </c>
      <c r="H326" t="s">
        <v>65</v>
      </c>
      <c r="I326" t="s">
        <v>97</v>
      </c>
      <c r="K326" t="s">
        <v>415</v>
      </c>
      <c r="V326" t="b">
        <v>0</v>
      </c>
      <c r="Y326" t="s">
        <v>18</v>
      </c>
    </row>
    <row r="327" spans="1:25">
      <c r="A327" t="s">
        <v>440</v>
      </c>
      <c r="C327" t="s">
        <v>409</v>
      </c>
      <c r="D327" t="s">
        <v>410</v>
      </c>
      <c r="E327" s="3">
        <v>45857</v>
      </c>
      <c r="F327">
        <v>-578.41</v>
      </c>
      <c r="G327" t="s">
        <v>56</v>
      </c>
      <c r="H327" t="s">
        <v>57</v>
      </c>
      <c r="I327" t="s">
        <v>97</v>
      </c>
      <c r="K327" t="s">
        <v>415</v>
      </c>
      <c r="V327" t="b">
        <v>0</v>
      </c>
      <c r="Y327" t="s">
        <v>18</v>
      </c>
    </row>
    <row r="328" spans="1:25">
      <c r="A328" t="s">
        <v>441</v>
      </c>
      <c r="C328" t="s">
        <v>119</v>
      </c>
      <c r="D328" t="s">
        <v>120</v>
      </c>
      <c r="E328" s="3">
        <v>45905</v>
      </c>
      <c r="F328">
        <v>-393.29</v>
      </c>
      <c r="G328" t="s">
        <v>56</v>
      </c>
      <c r="H328" t="s">
        <v>57</v>
      </c>
      <c r="I328" t="s">
        <v>103</v>
      </c>
      <c r="J328" t="s">
        <v>66</v>
      </c>
      <c r="K328" t="s">
        <v>415</v>
      </c>
      <c r="V328" t="b">
        <v>0</v>
      </c>
      <c r="Y328" t="s">
        <v>18</v>
      </c>
    </row>
    <row r="329" spans="1:25">
      <c r="A329" t="s">
        <v>442</v>
      </c>
      <c r="C329" t="s">
        <v>92</v>
      </c>
      <c r="D329" t="s">
        <v>93</v>
      </c>
      <c r="E329" s="3">
        <v>45906</v>
      </c>
      <c r="F329">
        <v>1045.49</v>
      </c>
      <c r="G329" t="s">
        <v>56</v>
      </c>
      <c r="H329" t="s">
        <v>65</v>
      </c>
      <c r="I329" t="s">
        <v>103</v>
      </c>
      <c r="J329" t="s">
        <v>81</v>
      </c>
      <c r="K329" t="s">
        <v>415</v>
      </c>
      <c r="V329" t="b">
        <v>0</v>
      </c>
      <c r="Y329" t="s">
        <v>18</v>
      </c>
    </row>
    <row r="330" spans="1:25">
      <c r="A330" t="s">
        <v>443</v>
      </c>
      <c r="C330" t="s">
        <v>54</v>
      </c>
      <c r="D330" t="s">
        <v>55</v>
      </c>
      <c r="E330" s="3">
        <v>45911</v>
      </c>
      <c r="F330">
        <v>633.61</v>
      </c>
      <c r="G330" t="s">
        <v>56</v>
      </c>
      <c r="H330" t="s">
        <v>57</v>
      </c>
      <c r="I330" t="s">
        <v>97</v>
      </c>
      <c r="J330" t="s">
        <v>99</v>
      </c>
      <c r="K330" t="s">
        <v>415</v>
      </c>
      <c r="V330" t="b">
        <v>0</v>
      </c>
      <c r="Y330" t="s">
        <v>18</v>
      </c>
    </row>
    <row r="331" spans="1:25">
      <c r="A331" t="s">
        <v>444</v>
      </c>
      <c r="C331" t="s">
        <v>422</v>
      </c>
      <c r="D331" t="s">
        <v>423</v>
      </c>
      <c r="E331" s="3">
        <v>45867</v>
      </c>
      <c r="F331">
        <v>696.21</v>
      </c>
      <c r="G331" t="s">
        <v>56</v>
      </c>
      <c r="H331" t="s">
        <v>80</v>
      </c>
      <c r="I331" t="s">
        <v>97</v>
      </c>
      <c r="J331" t="s">
        <v>117</v>
      </c>
      <c r="K331" t="s">
        <v>411</v>
      </c>
      <c r="V331" t="b">
        <v>0</v>
      </c>
      <c r="Y331" t="s">
        <v>18</v>
      </c>
    </row>
    <row r="332" spans="1:25">
      <c r="A332" t="s">
        <v>445</v>
      </c>
      <c r="C332" t="s">
        <v>119</v>
      </c>
      <c r="D332" t="s">
        <v>120</v>
      </c>
      <c r="E332" s="3">
        <v>45873</v>
      </c>
      <c r="F332">
        <v>765.03</v>
      </c>
      <c r="G332" t="s">
        <v>56</v>
      </c>
      <c r="H332" t="s">
        <v>80</v>
      </c>
      <c r="I332" t="s">
        <v>58</v>
      </c>
      <c r="J332" t="s">
        <v>66</v>
      </c>
      <c r="K332" t="s">
        <v>411</v>
      </c>
      <c r="V332" t="b">
        <v>0</v>
      </c>
      <c r="Y332" t="s">
        <v>18</v>
      </c>
    </row>
    <row r="333" spans="1:25">
      <c r="A333" t="s">
        <v>446</v>
      </c>
      <c r="C333" t="s">
        <v>63</v>
      </c>
      <c r="D333" t="s">
        <v>64</v>
      </c>
      <c r="E333" s="3">
        <v>45907</v>
      </c>
      <c r="F333">
        <v>-349.73</v>
      </c>
      <c r="G333" t="s">
        <v>56</v>
      </c>
      <c r="H333" t="s">
        <v>80</v>
      </c>
      <c r="I333" t="s">
        <v>58</v>
      </c>
      <c r="J333" t="s">
        <v>117</v>
      </c>
      <c r="K333" t="s">
        <v>411</v>
      </c>
      <c r="V333" t="b">
        <v>0</v>
      </c>
      <c r="Y333" t="s">
        <v>18</v>
      </c>
    </row>
    <row r="334" spans="1:25">
      <c r="A334" t="s">
        <v>447</v>
      </c>
      <c r="C334" t="s">
        <v>87</v>
      </c>
      <c r="D334" t="s">
        <v>88</v>
      </c>
      <c r="E334" s="3">
        <v>45917</v>
      </c>
      <c r="F334">
        <v>473</v>
      </c>
      <c r="G334" t="s">
        <v>56</v>
      </c>
      <c r="H334" t="s">
        <v>73</v>
      </c>
      <c r="I334" t="s">
        <v>103</v>
      </c>
      <c r="J334" t="s">
        <v>109</v>
      </c>
      <c r="K334" t="s">
        <v>411</v>
      </c>
      <c r="V334" t="b">
        <v>0</v>
      </c>
      <c r="Y334" t="s">
        <v>18</v>
      </c>
    </row>
    <row r="335" spans="1:25">
      <c r="A335" t="s">
        <v>448</v>
      </c>
      <c r="C335" t="s">
        <v>92</v>
      </c>
      <c r="D335" t="s">
        <v>93</v>
      </c>
      <c r="E335" s="3">
        <v>45905</v>
      </c>
      <c r="F335">
        <v>-339.76</v>
      </c>
      <c r="G335" t="s">
        <v>56</v>
      </c>
      <c r="H335" t="s">
        <v>80</v>
      </c>
      <c r="I335" t="s">
        <v>97</v>
      </c>
      <c r="J335" t="s">
        <v>85</v>
      </c>
      <c r="K335" t="s">
        <v>415</v>
      </c>
      <c r="V335" t="b">
        <v>0</v>
      </c>
      <c r="Y335" t="s">
        <v>18</v>
      </c>
    </row>
    <row r="336" spans="1:25">
      <c r="A336" t="s">
        <v>449</v>
      </c>
      <c r="C336" t="s">
        <v>71</v>
      </c>
      <c r="D336" t="s">
        <v>72</v>
      </c>
      <c r="E336" s="3">
        <v>45862</v>
      </c>
      <c r="F336">
        <v>-975.48</v>
      </c>
      <c r="G336" t="s">
        <v>56</v>
      </c>
      <c r="H336" t="s">
        <v>80</v>
      </c>
      <c r="I336" t="s">
        <v>97</v>
      </c>
      <c r="J336" t="s">
        <v>81</v>
      </c>
      <c r="K336" t="s">
        <v>411</v>
      </c>
      <c r="V336" t="b">
        <v>0</v>
      </c>
      <c r="Y336" t="s">
        <v>18</v>
      </c>
    </row>
    <row r="337" spans="1:25">
      <c r="A337" t="s">
        <v>450</v>
      </c>
      <c r="C337" t="s">
        <v>451</v>
      </c>
      <c r="D337" t="s">
        <v>452</v>
      </c>
      <c r="E337" s="3">
        <v>45916</v>
      </c>
      <c r="F337">
        <v>422.39</v>
      </c>
      <c r="G337" t="s">
        <v>56</v>
      </c>
      <c r="H337" t="s">
        <v>80</v>
      </c>
      <c r="I337" t="s">
        <v>97</v>
      </c>
      <c r="J337" t="s">
        <v>109</v>
      </c>
      <c r="K337" t="s">
        <v>415</v>
      </c>
      <c r="V337" t="b">
        <v>0</v>
      </c>
      <c r="Y337" t="s">
        <v>18</v>
      </c>
    </row>
    <row r="338" spans="1:25">
      <c r="A338" t="s">
        <v>453</v>
      </c>
      <c r="C338" t="s">
        <v>451</v>
      </c>
      <c r="D338" t="s">
        <v>452</v>
      </c>
      <c r="E338" s="3">
        <v>45895</v>
      </c>
      <c r="F338">
        <v>501.18</v>
      </c>
      <c r="G338" t="s">
        <v>56</v>
      </c>
      <c r="H338" t="s">
        <v>73</v>
      </c>
      <c r="I338" t="s">
        <v>97</v>
      </c>
      <c r="J338" t="s">
        <v>66</v>
      </c>
      <c r="K338" t="s">
        <v>411</v>
      </c>
      <c r="V338" t="b">
        <v>0</v>
      </c>
      <c r="Y338" t="s">
        <v>18</v>
      </c>
    </row>
    <row r="339" spans="1:25">
      <c r="A339" t="s">
        <v>454</v>
      </c>
      <c r="C339" t="s">
        <v>409</v>
      </c>
      <c r="D339" t="s">
        <v>410</v>
      </c>
      <c r="E339" s="3">
        <v>45869</v>
      </c>
      <c r="F339">
        <v>-161.63</v>
      </c>
      <c r="G339" t="s">
        <v>56</v>
      </c>
      <c r="H339" t="s">
        <v>80</v>
      </c>
      <c r="I339" t="s">
        <v>77</v>
      </c>
      <c r="J339" t="s">
        <v>66</v>
      </c>
      <c r="K339" t="s">
        <v>415</v>
      </c>
      <c r="V339" t="b">
        <v>0</v>
      </c>
      <c r="Y339" t="s">
        <v>18</v>
      </c>
    </row>
    <row r="340" spans="1:25">
      <c r="A340" t="s">
        <v>455</v>
      </c>
      <c r="C340" t="s">
        <v>63</v>
      </c>
      <c r="D340" t="s">
        <v>64</v>
      </c>
      <c r="E340" s="3">
        <v>45857</v>
      </c>
      <c r="F340">
        <v>681.25</v>
      </c>
      <c r="G340" t="s">
        <v>56</v>
      </c>
      <c r="H340" t="s">
        <v>73</v>
      </c>
      <c r="I340" t="s">
        <v>58</v>
      </c>
      <c r="J340" t="s">
        <v>109</v>
      </c>
      <c r="K340" t="s">
        <v>411</v>
      </c>
      <c r="V340" t="b">
        <v>0</v>
      </c>
      <c r="Y340" t="s">
        <v>18</v>
      </c>
    </row>
    <row r="341" spans="1:25">
      <c r="A341" t="s">
        <v>456</v>
      </c>
      <c r="C341" t="s">
        <v>54</v>
      </c>
      <c r="D341" t="s">
        <v>55</v>
      </c>
      <c r="E341" s="3">
        <v>45907</v>
      </c>
      <c r="F341">
        <v>524.16999999999996</v>
      </c>
      <c r="G341" t="s">
        <v>56</v>
      </c>
      <c r="H341" t="s">
        <v>57</v>
      </c>
      <c r="I341" t="s">
        <v>103</v>
      </c>
      <c r="J341" t="s">
        <v>66</v>
      </c>
      <c r="K341" t="s">
        <v>411</v>
      </c>
      <c r="V341" t="b">
        <v>0</v>
      </c>
      <c r="Y341" t="s">
        <v>18</v>
      </c>
    </row>
    <row r="342" spans="1:25">
      <c r="B342" t="s">
        <v>457</v>
      </c>
      <c r="L342" t="s">
        <v>68</v>
      </c>
      <c r="M342" t="s">
        <v>69</v>
      </c>
      <c r="N342" s="3">
        <v>45904</v>
      </c>
      <c r="O342">
        <v>468.33</v>
      </c>
      <c r="P342" t="s">
        <v>56</v>
      </c>
      <c r="Q342" t="s">
        <v>73</v>
      </c>
      <c r="R342" t="s">
        <v>97</v>
      </c>
      <c r="S342" t="s">
        <v>109</v>
      </c>
      <c r="T342" t="s">
        <v>458</v>
      </c>
      <c r="U342" t="s">
        <v>63</v>
      </c>
      <c r="V342" t="b">
        <v>0</v>
      </c>
      <c r="Y342" t="s">
        <v>19</v>
      </c>
    </row>
    <row r="343" spans="1:25">
      <c r="B343" t="s">
        <v>459</v>
      </c>
      <c r="L343" t="s">
        <v>94</v>
      </c>
      <c r="M343" t="s">
        <v>95</v>
      </c>
      <c r="N343" s="3">
        <v>45909</v>
      </c>
      <c r="O343">
        <v>-696.95</v>
      </c>
      <c r="P343" t="s">
        <v>56</v>
      </c>
      <c r="Q343" t="s">
        <v>65</v>
      </c>
      <c r="R343" t="s">
        <v>103</v>
      </c>
      <c r="S343" t="s">
        <v>81</v>
      </c>
      <c r="T343" t="s">
        <v>460</v>
      </c>
      <c r="U343" t="s">
        <v>92</v>
      </c>
      <c r="V343" t="b">
        <v>0</v>
      </c>
      <c r="Y343" t="s">
        <v>19</v>
      </c>
    </row>
    <row r="344" spans="1:25">
      <c r="B344" t="s">
        <v>461</v>
      </c>
      <c r="L344" t="s">
        <v>89</v>
      </c>
      <c r="M344" t="s">
        <v>90</v>
      </c>
      <c r="N344" s="3">
        <v>45877</v>
      </c>
      <c r="O344">
        <v>428.21</v>
      </c>
      <c r="P344" t="s">
        <v>56</v>
      </c>
      <c r="Q344" t="s">
        <v>73</v>
      </c>
      <c r="R344" t="s">
        <v>103</v>
      </c>
      <c r="S344" t="s">
        <v>99</v>
      </c>
      <c r="T344" t="s">
        <v>460</v>
      </c>
      <c r="U344" t="s">
        <v>87</v>
      </c>
      <c r="V344" t="b">
        <v>0</v>
      </c>
      <c r="Y344" t="s">
        <v>19</v>
      </c>
    </row>
    <row r="345" spans="1:25">
      <c r="B345" t="s">
        <v>462</v>
      </c>
      <c r="L345" t="s">
        <v>94</v>
      </c>
      <c r="M345" t="s">
        <v>95</v>
      </c>
      <c r="N345" s="3">
        <v>45899</v>
      </c>
      <c r="O345">
        <v>-743.22</v>
      </c>
      <c r="P345" t="s">
        <v>56</v>
      </c>
      <c r="Q345" t="s">
        <v>73</v>
      </c>
      <c r="R345" t="s">
        <v>77</v>
      </c>
      <c r="S345" t="s">
        <v>99</v>
      </c>
      <c r="T345" t="s">
        <v>463</v>
      </c>
      <c r="U345" t="s">
        <v>92</v>
      </c>
      <c r="V345" t="b">
        <v>0</v>
      </c>
      <c r="Y345" t="s">
        <v>19</v>
      </c>
    </row>
    <row r="346" spans="1:25">
      <c r="B346" t="s">
        <v>464</v>
      </c>
      <c r="L346" t="s">
        <v>60</v>
      </c>
      <c r="M346" t="s">
        <v>61</v>
      </c>
      <c r="N346" s="3">
        <v>45865</v>
      </c>
      <c r="O346">
        <v>622.46</v>
      </c>
      <c r="P346" t="s">
        <v>56</v>
      </c>
      <c r="Q346" t="s">
        <v>80</v>
      </c>
      <c r="R346" t="s">
        <v>58</v>
      </c>
      <c r="S346" t="s">
        <v>109</v>
      </c>
      <c r="T346" t="s">
        <v>458</v>
      </c>
      <c r="U346" t="s">
        <v>54</v>
      </c>
      <c r="V346" t="b">
        <v>0</v>
      </c>
      <c r="Y346" t="s">
        <v>19</v>
      </c>
    </row>
    <row r="347" spans="1:25">
      <c r="B347" t="s">
        <v>465</v>
      </c>
      <c r="L347" t="s">
        <v>82</v>
      </c>
      <c r="M347" t="s">
        <v>83</v>
      </c>
      <c r="N347" s="3">
        <v>45883</v>
      </c>
      <c r="O347">
        <v>769.89</v>
      </c>
      <c r="P347" t="s">
        <v>56</v>
      </c>
      <c r="Q347" t="s">
        <v>57</v>
      </c>
      <c r="R347" t="s">
        <v>77</v>
      </c>
      <c r="S347" t="s">
        <v>117</v>
      </c>
      <c r="T347" t="s">
        <v>460</v>
      </c>
      <c r="U347" t="s">
        <v>63</v>
      </c>
      <c r="V347" t="b">
        <v>0</v>
      </c>
      <c r="Y347" t="s">
        <v>19</v>
      </c>
    </row>
    <row r="348" spans="1:25">
      <c r="B348" t="s">
        <v>466</v>
      </c>
      <c r="L348" t="s">
        <v>94</v>
      </c>
      <c r="M348" t="s">
        <v>95</v>
      </c>
      <c r="N348" s="3">
        <v>45875</v>
      </c>
      <c r="O348">
        <v>696.92</v>
      </c>
      <c r="P348" t="s">
        <v>56</v>
      </c>
      <c r="Q348" t="s">
        <v>80</v>
      </c>
      <c r="R348" t="s">
        <v>103</v>
      </c>
      <c r="S348" t="s">
        <v>117</v>
      </c>
      <c r="T348" t="s">
        <v>458</v>
      </c>
      <c r="U348" t="s">
        <v>92</v>
      </c>
      <c r="V348" t="b">
        <v>0</v>
      </c>
      <c r="Y348" t="s">
        <v>19</v>
      </c>
    </row>
    <row r="349" spans="1:25">
      <c r="B349" t="s">
        <v>467</v>
      </c>
      <c r="L349" t="s">
        <v>152</v>
      </c>
      <c r="M349" t="s">
        <v>153</v>
      </c>
      <c r="N349" s="3">
        <v>45891</v>
      </c>
      <c r="O349">
        <v>-608.48</v>
      </c>
      <c r="P349" t="s">
        <v>56</v>
      </c>
      <c r="Q349" t="s">
        <v>65</v>
      </c>
      <c r="R349" t="s">
        <v>77</v>
      </c>
      <c r="S349" t="s">
        <v>85</v>
      </c>
      <c r="T349" t="s">
        <v>458</v>
      </c>
      <c r="U349" t="s">
        <v>150</v>
      </c>
      <c r="V349" t="b">
        <v>0</v>
      </c>
      <c r="Y349" t="s">
        <v>19</v>
      </c>
    </row>
    <row r="350" spans="1:25">
      <c r="B350" t="s">
        <v>468</v>
      </c>
      <c r="L350" t="s">
        <v>89</v>
      </c>
      <c r="M350" t="s">
        <v>90</v>
      </c>
      <c r="N350" s="3">
        <v>45877</v>
      </c>
      <c r="O350">
        <v>-95.43</v>
      </c>
      <c r="P350" t="s">
        <v>56</v>
      </c>
      <c r="Q350" t="s">
        <v>73</v>
      </c>
      <c r="R350" t="s">
        <v>58</v>
      </c>
      <c r="S350" t="s">
        <v>66</v>
      </c>
      <c r="T350" t="s">
        <v>463</v>
      </c>
      <c r="U350" t="s">
        <v>87</v>
      </c>
      <c r="V350" t="b">
        <v>0</v>
      </c>
      <c r="Y350" t="s">
        <v>19</v>
      </c>
    </row>
    <row r="351" spans="1:25">
      <c r="B351" t="s">
        <v>469</v>
      </c>
      <c r="L351" t="s">
        <v>74</v>
      </c>
      <c r="M351" t="s">
        <v>75</v>
      </c>
      <c r="N351" s="3">
        <v>45890</v>
      </c>
      <c r="O351">
        <v>323.98</v>
      </c>
      <c r="P351" t="s">
        <v>56</v>
      </c>
      <c r="Q351" t="s">
        <v>73</v>
      </c>
      <c r="R351" t="s">
        <v>77</v>
      </c>
      <c r="S351" t="s">
        <v>117</v>
      </c>
      <c r="T351" t="s">
        <v>470</v>
      </c>
      <c r="U351" t="s">
        <v>71</v>
      </c>
      <c r="V351" t="b">
        <v>0</v>
      </c>
      <c r="Y351" t="s">
        <v>19</v>
      </c>
    </row>
    <row r="352" spans="1:25">
      <c r="B352" t="s">
        <v>471</v>
      </c>
      <c r="L352" t="s">
        <v>125</v>
      </c>
      <c r="M352" t="s">
        <v>126</v>
      </c>
      <c r="N352" s="3">
        <v>45871</v>
      </c>
      <c r="O352">
        <v>-395.02</v>
      </c>
      <c r="P352" t="s">
        <v>56</v>
      </c>
      <c r="Q352" t="s">
        <v>80</v>
      </c>
      <c r="R352" t="s">
        <v>77</v>
      </c>
      <c r="S352" t="s">
        <v>109</v>
      </c>
      <c r="T352" t="s">
        <v>460</v>
      </c>
      <c r="U352" t="s">
        <v>92</v>
      </c>
      <c r="V352" t="b">
        <v>0</v>
      </c>
      <c r="Y352" t="s">
        <v>19</v>
      </c>
    </row>
    <row r="353" spans="2:25">
      <c r="B353" t="s">
        <v>472</v>
      </c>
      <c r="L353" t="s">
        <v>68</v>
      </c>
      <c r="M353" t="s">
        <v>69</v>
      </c>
      <c r="N353" s="3">
        <v>45867</v>
      </c>
      <c r="O353">
        <v>-828.07</v>
      </c>
      <c r="P353" t="s">
        <v>56</v>
      </c>
      <c r="Q353" t="s">
        <v>80</v>
      </c>
      <c r="R353" t="s">
        <v>58</v>
      </c>
      <c r="T353" t="s">
        <v>470</v>
      </c>
      <c r="U353" t="s">
        <v>63</v>
      </c>
      <c r="V353" t="b">
        <v>0</v>
      </c>
      <c r="Y353" t="s">
        <v>19</v>
      </c>
    </row>
    <row r="354" spans="2:25">
      <c r="B354" t="s">
        <v>473</v>
      </c>
      <c r="L354" t="s">
        <v>74</v>
      </c>
      <c r="M354" t="s">
        <v>75</v>
      </c>
      <c r="N354" s="3">
        <v>45897</v>
      </c>
      <c r="O354">
        <v>-117.4</v>
      </c>
      <c r="P354" t="s">
        <v>56</v>
      </c>
      <c r="Q354" t="s">
        <v>80</v>
      </c>
      <c r="R354" t="s">
        <v>97</v>
      </c>
      <c r="S354" t="s">
        <v>85</v>
      </c>
      <c r="T354" t="s">
        <v>460</v>
      </c>
      <c r="U354" t="s">
        <v>71</v>
      </c>
      <c r="V354" t="b">
        <v>0</v>
      </c>
      <c r="Y354" t="s">
        <v>19</v>
      </c>
    </row>
    <row r="355" spans="2:25">
      <c r="B355" t="s">
        <v>474</v>
      </c>
      <c r="L355" t="s">
        <v>82</v>
      </c>
      <c r="M355" t="s">
        <v>83</v>
      </c>
      <c r="N355" s="3">
        <v>45901</v>
      </c>
      <c r="O355">
        <v>712.23</v>
      </c>
      <c r="P355" t="s">
        <v>56</v>
      </c>
      <c r="Q355" t="s">
        <v>57</v>
      </c>
      <c r="R355" t="s">
        <v>103</v>
      </c>
      <c r="S355" t="s">
        <v>109</v>
      </c>
      <c r="T355" t="s">
        <v>463</v>
      </c>
      <c r="U355" t="s">
        <v>63</v>
      </c>
      <c r="V355" t="b">
        <v>0</v>
      </c>
      <c r="Y355" t="s">
        <v>19</v>
      </c>
    </row>
    <row r="356" spans="2:25">
      <c r="B356" t="s">
        <v>475</v>
      </c>
      <c r="L356" t="s">
        <v>94</v>
      </c>
      <c r="M356" t="s">
        <v>95</v>
      </c>
      <c r="N356" s="3">
        <v>45906</v>
      </c>
      <c r="O356">
        <v>346.62</v>
      </c>
      <c r="P356" t="s">
        <v>56</v>
      </c>
      <c r="Q356" t="s">
        <v>80</v>
      </c>
      <c r="R356" t="s">
        <v>97</v>
      </c>
      <c r="S356" t="s">
        <v>85</v>
      </c>
      <c r="T356" t="s">
        <v>460</v>
      </c>
      <c r="U356" t="s">
        <v>92</v>
      </c>
      <c r="V356" t="b">
        <v>0</v>
      </c>
      <c r="Y356" t="s">
        <v>19</v>
      </c>
    </row>
    <row r="357" spans="2:25">
      <c r="B357" t="s">
        <v>476</v>
      </c>
      <c r="L357" t="s">
        <v>68</v>
      </c>
      <c r="M357" t="s">
        <v>69</v>
      </c>
      <c r="N357" s="3">
        <v>45867</v>
      </c>
      <c r="O357">
        <v>-190.38</v>
      </c>
      <c r="P357" t="s">
        <v>56</v>
      </c>
      <c r="Q357" t="s">
        <v>73</v>
      </c>
      <c r="R357" t="s">
        <v>77</v>
      </c>
      <c r="S357" t="s">
        <v>85</v>
      </c>
      <c r="T357" t="s">
        <v>458</v>
      </c>
      <c r="U357" t="s">
        <v>63</v>
      </c>
      <c r="V357" t="b">
        <v>0</v>
      </c>
      <c r="Y357" t="s">
        <v>19</v>
      </c>
    </row>
    <row r="358" spans="2:25">
      <c r="B358" t="s">
        <v>477</v>
      </c>
      <c r="L358" t="s">
        <v>60</v>
      </c>
      <c r="M358" t="s">
        <v>61</v>
      </c>
      <c r="N358" s="3">
        <v>45874</v>
      </c>
      <c r="O358">
        <v>-154.05000000000001</v>
      </c>
      <c r="P358" t="s">
        <v>56</v>
      </c>
      <c r="Q358" t="s">
        <v>80</v>
      </c>
      <c r="R358" t="s">
        <v>58</v>
      </c>
      <c r="T358" t="s">
        <v>463</v>
      </c>
      <c r="U358" t="s">
        <v>54</v>
      </c>
      <c r="V358" t="b">
        <v>0</v>
      </c>
      <c r="Y358" t="s">
        <v>19</v>
      </c>
    </row>
    <row r="359" spans="2:25">
      <c r="B359" t="s">
        <v>478</v>
      </c>
      <c r="L359" t="s">
        <v>74</v>
      </c>
      <c r="M359" t="s">
        <v>75</v>
      </c>
      <c r="N359" s="3">
        <v>45894</v>
      </c>
      <c r="O359">
        <v>315.94</v>
      </c>
      <c r="P359" t="s">
        <v>56</v>
      </c>
      <c r="Q359" t="s">
        <v>57</v>
      </c>
      <c r="R359" t="s">
        <v>77</v>
      </c>
      <c r="S359" t="s">
        <v>66</v>
      </c>
      <c r="T359" t="s">
        <v>460</v>
      </c>
      <c r="U359" t="s">
        <v>71</v>
      </c>
      <c r="V359" t="b">
        <v>0</v>
      </c>
      <c r="Y359" t="s">
        <v>19</v>
      </c>
    </row>
    <row r="360" spans="2:25">
      <c r="B360" t="s">
        <v>479</v>
      </c>
      <c r="L360" t="s">
        <v>100</v>
      </c>
      <c r="M360" t="s">
        <v>101</v>
      </c>
      <c r="N360" s="3">
        <v>45883</v>
      </c>
      <c r="O360">
        <v>411.54</v>
      </c>
      <c r="P360" t="s">
        <v>56</v>
      </c>
      <c r="Q360" t="s">
        <v>73</v>
      </c>
      <c r="R360" t="s">
        <v>58</v>
      </c>
      <c r="S360" t="s">
        <v>81</v>
      </c>
      <c r="T360" t="s">
        <v>458</v>
      </c>
      <c r="U360" t="s">
        <v>87</v>
      </c>
      <c r="V360" t="b">
        <v>0</v>
      </c>
      <c r="Y360" t="s">
        <v>19</v>
      </c>
    </row>
    <row r="361" spans="2:25">
      <c r="B361" t="s">
        <v>480</v>
      </c>
      <c r="L361" t="s">
        <v>68</v>
      </c>
      <c r="M361" t="s">
        <v>69</v>
      </c>
      <c r="N361" s="3">
        <v>45868</v>
      </c>
      <c r="O361">
        <v>-496.72</v>
      </c>
      <c r="P361" t="s">
        <v>56</v>
      </c>
      <c r="Q361" t="s">
        <v>73</v>
      </c>
      <c r="R361" t="s">
        <v>97</v>
      </c>
      <c r="S361" t="s">
        <v>66</v>
      </c>
      <c r="T361" t="s">
        <v>470</v>
      </c>
      <c r="U361" t="s">
        <v>63</v>
      </c>
      <c r="V361" t="b">
        <v>0</v>
      </c>
      <c r="Y361" t="s">
        <v>19</v>
      </c>
    </row>
    <row r="362" spans="2:25">
      <c r="B362" t="s">
        <v>481</v>
      </c>
      <c r="L362" t="s">
        <v>68</v>
      </c>
      <c r="M362" t="s">
        <v>69</v>
      </c>
      <c r="N362" s="3">
        <v>45864</v>
      </c>
      <c r="O362">
        <v>405.65</v>
      </c>
      <c r="P362" t="s">
        <v>56</v>
      </c>
      <c r="Q362" t="s">
        <v>80</v>
      </c>
      <c r="R362" t="s">
        <v>97</v>
      </c>
      <c r="S362" t="s">
        <v>117</v>
      </c>
      <c r="T362" t="s">
        <v>460</v>
      </c>
      <c r="U362" t="s">
        <v>63</v>
      </c>
      <c r="V362" t="b">
        <v>0</v>
      </c>
      <c r="Y362" t="s">
        <v>19</v>
      </c>
    </row>
    <row r="363" spans="2:25">
      <c r="B363" t="s">
        <v>482</v>
      </c>
      <c r="L363" t="s">
        <v>82</v>
      </c>
      <c r="M363" t="s">
        <v>83</v>
      </c>
      <c r="N363" s="3">
        <v>45878</v>
      </c>
      <c r="O363">
        <v>728.07</v>
      </c>
      <c r="P363" t="s">
        <v>56</v>
      </c>
      <c r="Q363" t="s">
        <v>65</v>
      </c>
      <c r="R363" t="s">
        <v>97</v>
      </c>
      <c r="S363" t="s">
        <v>66</v>
      </c>
      <c r="T363" t="s">
        <v>460</v>
      </c>
      <c r="U363" t="s">
        <v>63</v>
      </c>
      <c r="V363" t="b">
        <v>0</v>
      </c>
      <c r="Y363" t="s">
        <v>19</v>
      </c>
    </row>
    <row r="364" spans="2:25">
      <c r="B364" t="s">
        <v>483</v>
      </c>
      <c r="L364" t="s">
        <v>152</v>
      </c>
      <c r="M364" t="s">
        <v>153</v>
      </c>
      <c r="N364" s="3">
        <v>45880</v>
      </c>
      <c r="O364">
        <v>-631.13</v>
      </c>
      <c r="P364" t="s">
        <v>56</v>
      </c>
      <c r="Q364" t="s">
        <v>73</v>
      </c>
      <c r="R364" t="s">
        <v>77</v>
      </c>
      <c r="S364" t="s">
        <v>109</v>
      </c>
      <c r="T364" t="s">
        <v>460</v>
      </c>
      <c r="U364" t="s">
        <v>150</v>
      </c>
      <c r="V364" t="b">
        <v>0</v>
      </c>
      <c r="Y364" t="s">
        <v>19</v>
      </c>
    </row>
    <row r="365" spans="2:25">
      <c r="B365" t="s">
        <v>484</v>
      </c>
      <c r="L365" t="s">
        <v>152</v>
      </c>
      <c r="M365" t="s">
        <v>153</v>
      </c>
      <c r="N365" s="3">
        <v>45917</v>
      </c>
      <c r="O365">
        <v>298.45999999999998</v>
      </c>
      <c r="P365" t="s">
        <v>56</v>
      </c>
      <c r="Q365" t="s">
        <v>80</v>
      </c>
      <c r="R365" t="s">
        <v>77</v>
      </c>
      <c r="S365" t="s">
        <v>85</v>
      </c>
      <c r="T365" t="s">
        <v>470</v>
      </c>
      <c r="U365" t="s">
        <v>150</v>
      </c>
      <c r="V365" t="b">
        <v>0</v>
      </c>
      <c r="Y365" t="s">
        <v>19</v>
      </c>
    </row>
    <row r="366" spans="2:25">
      <c r="B366" t="s">
        <v>485</v>
      </c>
      <c r="L366" t="s">
        <v>125</v>
      </c>
      <c r="M366" t="s">
        <v>126</v>
      </c>
      <c r="N366" s="3">
        <v>45862</v>
      </c>
      <c r="O366">
        <v>587.28</v>
      </c>
      <c r="P366" t="s">
        <v>56</v>
      </c>
      <c r="Q366" t="s">
        <v>80</v>
      </c>
      <c r="R366" t="s">
        <v>77</v>
      </c>
      <c r="S366" t="s">
        <v>66</v>
      </c>
      <c r="T366" t="s">
        <v>460</v>
      </c>
      <c r="U366" t="s">
        <v>92</v>
      </c>
      <c r="V366" t="b">
        <v>0</v>
      </c>
      <c r="Y366" t="s">
        <v>19</v>
      </c>
    </row>
    <row r="367" spans="2:25">
      <c r="B367" t="s">
        <v>486</v>
      </c>
      <c r="L367" t="s">
        <v>60</v>
      </c>
      <c r="M367" t="s">
        <v>61</v>
      </c>
      <c r="N367" s="3">
        <v>45869</v>
      </c>
      <c r="O367">
        <v>400.33</v>
      </c>
      <c r="P367" t="s">
        <v>56</v>
      </c>
      <c r="Q367" t="s">
        <v>57</v>
      </c>
      <c r="R367" t="s">
        <v>58</v>
      </c>
      <c r="S367" t="s">
        <v>85</v>
      </c>
      <c r="T367" t="s">
        <v>470</v>
      </c>
      <c r="U367" t="s">
        <v>54</v>
      </c>
      <c r="V367" t="b">
        <v>0</v>
      </c>
      <c r="Y367" t="s">
        <v>19</v>
      </c>
    </row>
    <row r="368" spans="2:25">
      <c r="B368" t="s">
        <v>487</v>
      </c>
      <c r="L368" t="s">
        <v>100</v>
      </c>
      <c r="M368" t="s">
        <v>101</v>
      </c>
      <c r="N368" s="3">
        <v>45865</v>
      </c>
      <c r="O368">
        <v>696.39</v>
      </c>
      <c r="P368" t="s">
        <v>56</v>
      </c>
      <c r="Q368" t="s">
        <v>73</v>
      </c>
      <c r="R368" t="s">
        <v>103</v>
      </c>
      <c r="S368" t="s">
        <v>99</v>
      </c>
      <c r="T368" t="s">
        <v>458</v>
      </c>
      <c r="U368" t="s">
        <v>87</v>
      </c>
      <c r="V368" t="b">
        <v>0</v>
      </c>
      <c r="Y368" t="s">
        <v>19</v>
      </c>
    </row>
    <row r="369" spans="2:25">
      <c r="B369" t="s">
        <v>488</v>
      </c>
      <c r="L369" t="s">
        <v>60</v>
      </c>
      <c r="M369" t="s">
        <v>61</v>
      </c>
      <c r="N369" s="3">
        <v>45900</v>
      </c>
      <c r="O369">
        <v>292.47000000000003</v>
      </c>
      <c r="P369" t="s">
        <v>56</v>
      </c>
      <c r="Q369" t="s">
        <v>80</v>
      </c>
      <c r="R369" t="s">
        <v>77</v>
      </c>
      <c r="S369" t="s">
        <v>66</v>
      </c>
      <c r="T369" t="s">
        <v>458</v>
      </c>
      <c r="U369" t="s">
        <v>54</v>
      </c>
      <c r="V369" t="b">
        <v>0</v>
      </c>
      <c r="Y369" t="s">
        <v>19</v>
      </c>
    </row>
    <row r="370" spans="2:25">
      <c r="B370" t="s">
        <v>489</v>
      </c>
      <c r="L370" t="s">
        <v>100</v>
      </c>
      <c r="M370" t="s">
        <v>101</v>
      </c>
      <c r="N370" s="3">
        <v>45915</v>
      </c>
      <c r="O370">
        <v>408.44</v>
      </c>
      <c r="P370" t="s">
        <v>56</v>
      </c>
      <c r="Q370" t="s">
        <v>65</v>
      </c>
      <c r="R370" t="s">
        <v>58</v>
      </c>
      <c r="S370" t="s">
        <v>117</v>
      </c>
      <c r="T370" t="s">
        <v>463</v>
      </c>
      <c r="U370" t="s">
        <v>87</v>
      </c>
      <c r="V370" t="b">
        <v>0</v>
      </c>
      <c r="Y370" t="s">
        <v>19</v>
      </c>
    </row>
    <row r="371" spans="2:25">
      <c r="B371" t="s">
        <v>490</v>
      </c>
      <c r="L371" t="s">
        <v>82</v>
      </c>
      <c r="M371" t="s">
        <v>83</v>
      </c>
      <c r="N371" s="3">
        <v>45892</v>
      </c>
      <c r="O371">
        <v>-609.58000000000004</v>
      </c>
      <c r="P371" t="s">
        <v>56</v>
      </c>
      <c r="Q371" t="s">
        <v>65</v>
      </c>
      <c r="R371" t="s">
        <v>97</v>
      </c>
      <c r="S371" t="s">
        <v>85</v>
      </c>
      <c r="T371" t="s">
        <v>458</v>
      </c>
      <c r="U371" t="s">
        <v>63</v>
      </c>
      <c r="V371" t="b">
        <v>0</v>
      </c>
      <c r="Y371" t="s">
        <v>19</v>
      </c>
    </row>
    <row r="372" spans="2:25">
      <c r="B372" t="s">
        <v>491</v>
      </c>
      <c r="L372" t="s">
        <v>100</v>
      </c>
      <c r="M372" t="s">
        <v>101</v>
      </c>
      <c r="N372" s="3">
        <v>45914</v>
      </c>
      <c r="O372">
        <v>198.7</v>
      </c>
      <c r="P372" t="s">
        <v>56</v>
      </c>
      <c r="Q372" t="s">
        <v>57</v>
      </c>
      <c r="R372" t="s">
        <v>97</v>
      </c>
      <c r="S372" t="s">
        <v>109</v>
      </c>
      <c r="T372" t="s">
        <v>463</v>
      </c>
      <c r="U372" t="s">
        <v>87</v>
      </c>
      <c r="V372" t="b">
        <v>0</v>
      </c>
      <c r="Y372" t="s">
        <v>19</v>
      </c>
    </row>
    <row r="373" spans="2:25">
      <c r="B373" t="s">
        <v>492</v>
      </c>
      <c r="L373" t="s">
        <v>74</v>
      </c>
      <c r="M373" t="s">
        <v>75</v>
      </c>
      <c r="N373" s="3">
        <v>45904</v>
      </c>
      <c r="O373">
        <v>252.95</v>
      </c>
      <c r="P373" t="s">
        <v>56</v>
      </c>
      <c r="Q373" t="s">
        <v>65</v>
      </c>
      <c r="R373" t="s">
        <v>103</v>
      </c>
      <c r="S373" t="s">
        <v>85</v>
      </c>
      <c r="T373" t="s">
        <v>463</v>
      </c>
      <c r="U373" t="s">
        <v>71</v>
      </c>
      <c r="V373" t="b">
        <v>0</v>
      </c>
      <c r="Y373" t="s">
        <v>19</v>
      </c>
    </row>
    <row r="374" spans="2:25">
      <c r="B374" t="s">
        <v>493</v>
      </c>
      <c r="L374" t="s">
        <v>94</v>
      </c>
      <c r="M374" t="s">
        <v>95</v>
      </c>
      <c r="N374" s="3">
        <v>45889</v>
      </c>
      <c r="O374">
        <v>-319.02999999999997</v>
      </c>
      <c r="P374" t="s">
        <v>56</v>
      </c>
      <c r="Q374" t="s">
        <v>65</v>
      </c>
      <c r="R374" t="s">
        <v>77</v>
      </c>
      <c r="S374" t="s">
        <v>109</v>
      </c>
      <c r="T374" t="s">
        <v>460</v>
      </c>
      <c r="U374" t="s">
        <v>92</v>
      </c>
      <c r="V374" t="b">
        <v>0</v>
      </c>
      <c r="Y374" t="s">
        <v>19</v>
      </c>
    </row>
    <row r="375" spans="2:25">
      <c r="B375" t="s">
        <v>494</v>
      </c>
      <c r="L375" t="s">
        <v>89</v>
      </c>
      <c r="M375" t="s">
        <v>90</v>
      </c>
      <c r="N375" s="3">
        <v>45891</v>
      </c>
      <c r="O375">
        <v>-670.46</v>
      </c>
      <c r="P375" t="s">
        <v>56</v>
      </c>
      <c r="Q375" t="s">
        <v>57</v>
      </c>
      <c r="R375" t="s">
        <v>97</v>
      </c>
      <c r="S375" t="s">
        <v>99</v>
      </c>
      <c r="T375" t="s">
        <v>470</v>
      </c>
      <c r="U375" t="s">
        <v>87</v>
      </c>
      <c r="V375" t="b">
        <v>0</v>
      </c>
      <c r="Y375" t="s">
        <v>19</v>
      </c>
    </row>
    <row r="376" spans="2:25">
      <c r="B376" t="s">
        <v>495</v>
      </c>
      <c r="L376" t="s">
        <v>94</v>
      </c>
      <c r="M376" t="s">
        <v>95</v>
      </c>
      <c r="N376" s="3">
        <v>45899</v>
      </c>
      <c r="O376">
        <v>-205.96</v>
      </c>
      <c r="P376" t="s">
        <v>56</v>
      </c>
      <c r="Q376" t="s">
        <v>65</v>
      </c>
      <c r="R376" t="s">
        <v>58</v>
      </c>
      <c r="S376" t="s">
        <v>85</v>
      </c>
      <c r="T376" t="s">
        <v>458</v>
      </c>
      <c r="U376" t="s">
        <v>92</v>
      </c>
      <c r="V376" t="b">
        <v>0</v>
      </c>
      <c r="Y376" t="s">
        <v>19</v>
      </c>
    </row>
    <row r="377" spans="2:25">
      <c r="B377" t="s">
        <v>496</v>
      </c>
      <c r="L377" t="s">
        <v>121</v>
      </c>
      <c r="M377" t="s">
        <v>122</v>
      </c>
      <c r="N377" s="3">
        <v>45893</v>
      </c>
      <c r="O377">
        <v>-578.01</v>
      </c>
      <c r="P377" t="s">
        <v>56</v>
      </c>
      <c r="Q377" t="s">
        <v>57</v>
      </c>
      <c r="R377" t="s">
        <v>77</v>
      </c>
      <c r="T377" t="s">
        <v>460</v>
      </c>
      <c r="U377" t="s">
        <v>119</v>
      </c>
      <c r="V377" t="b">
        <v>0</v>
      </c>
      <c r="Y377" t="s">
        <v>19</v>
      </c>
    </row>
    <row r="378" spans="2:25">
      <c r="B378" t="s">
        <v>497</v>
      </c>
      <c r="L378" t="s">
        <v>100</v>
      </c>
      <c r="M378" t="s">
        <v>101</v>
      </c>
      <c r="N378" s="3">
        <v>45857</v>
      </c>
      <c r="O378">
        <v>-413.72</v>
      </c>
      <c r="P378" t="s">
        <v>56</v>
      </c>
      <c r="Q378" t="s">
        <v>65</v>
      </c>
      <c r="R378" t="s">
        <v>58</v>
      </c>
      <c r="S378" t="s">
        <v>66</v>
      </c>
      <c r="T378" t="s">
        <v>470</v>
      </c>
      <c r="U378" t="s">
        <v>87</v>
      </c>
      <c r="V378" t="b">
        <v>0</v>
      </c>
      <c r="Y378" t="s">
        <v>19</v>
      </c>
    </row>
    <row r="379" spans="2:25">
      <c r="B379" t="s">
        <v>498</v>
      </c>
      <c r="L379" t="s">
        <v>60</v>
      </c>
      <c r="M379" t="s">
        <v>61</v>
      </c>
      <c r="N379" s="3">
        <v>45885</v>
      </c>
      <c r="O379">
        <v>264.33</v>
      </c>
      <c r="P379" t="s">
        <v>56</v>
      </c>
      <c r="Q379" t="s">
        <v>80</v>
      </c>
      <c r="R379" t="s">
        <v>103</v>
      </c>
      <c r="S379" t="s">
        <v>81</v>
      </c>
      <c r="T379" t="s">
        <v>463</v>
      </c>
      <c r="U379" t="s">
        <v>54</v>
      </c>
      <c r="V379" t="b">
        <v>0</v>
      </c>
      <c r="Y379" t="s">
        <v>19</v>
      </c>
    </row>
    <row r="380" spans="2:25">
      <c r="B380" t="s">
        <v>499</v>
      </c>
      <c r="L380" t="s">
        <v>60</v>
      </c>
      <c r="M380" t="s">
        <v>61</v>
      </c>
      <c r="N380" s="3">
        <v>45904</v>
      </c>
      <c r="O380">
        <v>768.94</v>
      </c>
      <c r="P380" t="s">
        <v>56</v>
      </c>
      <c r="Q380" t="s">
        <v>57</v>
      </c>
      <c r="R380" t="s">
        <v>77</v>
      </c>
      <c r="S380" t="s">
        <v>117</v>
      </c>
      <c r="T380" t="s">
        <v>458</v>
      </c>
      <c r="U380" t="s">
        <v>54</v>
      </c>
      <c r="V380" t="b">
        <v>0</v>
      </c>
      <c r="Y380" t="s">
        <v>19</v>
      </c>
    </row>
    <row r="381" spans="2:25">
      <c r="B381" t="s">
        <v>500</v>
      </c>
      <c r="L381" t="s">
        <v>100</v>
      </c>
      <c r="M381" t="s">
        <v>101</v>
      </c>
      <c r="N381" s="3">
        <v>45897</v>
      </c>
      <c r="O381">
        <v>290.95999999999998</v>
      </c>
      <c r="P381" t="s">
        <v>56</v>
      </c>
      <c r="Q381" t="s">
        <v>80</v>
      </c>
      <c r="R381" t="s">
        <v>97</v>
      </c>
      <c r="S381" t="s">
        <v>66</v>
      </c>
      <c r="T381" t="s">
        <v>460</v>
      </c>
      <c r="U381" t="s">
        <v>87</v>
      </c>
      <c r="V381" t="b">
        <v>0</v>
      </c>
      <c r="Y381" t="s">
        <v>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</cols>
  <sheetData>
    <row r="1" spans="1:2">
      <c r="A1" t="s">
        <v>502</v>
      </c>
      <c r="B1" t="s">
        <v>503</v>
      </c>
    </row>
    <row r="2" spans="1:2">
      <c r="A2" t="s">
        <v>63</v>
      </c>
      <c r="B2" t="s">
        <v>60</v>
      </c>
    </row>
    <row r="3" spans="1:2">
      <c r="A3" t="s">
        <v>150</v>
      </c>
      <c r="B3" t="s">
        <v>152</v>
      </c>
    </row>
    <row r="4" spans="1:2">
      <c r="A4" t="s">
        <v>451</v>
      </c>
      <c r="B4" t="s">
        <v>82</v>
      </c>
    </row>
    <row r="5" spans="1:2">
      <c r="A5" t="s">
        <v>54</v>
      </c>
      <c r="B5" t="s">
        <v>68</v>
      </c>
    </row>
    <row r="6" spans="1:2">
      <c r="A6" t="s">
        <v>409</v>
      </c>
      <c r="B6" t="s">
        <v>74</v>
      </c>
    </row>
    <row r="7" spans="1:2">
      <c r="A7" t="s">
        <v>87</v>
      </c>
      <c r="B7" t="s">
        <v>121</v>
      </c>
    </row>
    <row r="8" spans="1:2">
      <c r="A8" t="s">
        <v>71</v>
      </c>
      <c r="B8" t="s">
        <v>125</v>
      </c>
    </row>
    <row r="9" spans="1:2">
      <c r="A9" t="s">
        <v>92</v>
      </c>
      <c r="B9" t="s">
        <v>94</v>
      </c>
    </row>
    <row r="10" spans="1:2">
      <c r="A10" t="s">
        <v>119</v>
      </c>
      <c r="B10" t="s">
        <v>89</v>
      </c>
    </row>
    <row r="11" spans="1:2">
      <c r="A11" t="s">
        <v>422</v>
      </c>
      <c r="B11" t="s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7" width="11.7109375" customWidth="1"/>
    <col min="8" max="8" width="12.7109375" customWidth="1"/>
    <col min="9" max="9" width="13.7109375" customWidth="1"/>
    <col min="10" max="10" width="12.7109375" customWidth="1"/>
  </cols>
  <sheetData>
    <row r="1" spans="1:10">
      <c r="A1" t="s">
        <v>40</v>
      </c>
      <c r="B1" t="s">
        <v>41</v>
      </c>
      <c r="C1" t="s">
        <v>30</v>
      </c>
      <c r="D1" t="s">
        <v>42</v>
      </c>
      <c r="E1" t="s">
        <v>43</v>
      </c>
      <c r="F1" t="s">
        <v>504</v>
      </c>
      <c r="G1" t="s">
        <v>505</v>
      </c>
      <c r="H1" t="s">
        <v>506</v>
      </c>
      <c r="I1" t="s">
        <v>507</v>
      </c>
      <c r="J1" t="s">
        <v>48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8.7109375" customWidth="1"/>
  </cols>
  <sheetData>
    <row r="1" spans="1:2">
      <c r="A1" t="s">
        <v>40</v>
      </c>
      <c r="B1" t="s">
        <v>508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8D498-7CA4-4F62-BAD0-4728DB3B908C}"/>
</file>

<file path=customXml/itemProps2.xml><?xml version="1.0" encoding="utf-8"?>
<ds:datastoreItem xmlns:ds="http://schemas.openxmlformats.org/officeDocument/2006/customXml" ds:itemID="{64046253-FDD4-418C-AB08-E971C1F72CE5}"/>
</file>

<file path=customXml/itemProps3.xml><?xml version="1.0" encoding="utf-8"?>
<ds:datastoreItem xmlns:ds="http://schemas.openxmlformats.org/officeDocument/2006/customXml" ds:itemID="{6D89588D-9E29-4FE3-A9BD-A0FBBB833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2025-09-05T04:07:05Z</dcterms:created>
  <dcterms:modified xsi:type="dcterms:W3CDTF">2025-12-08T16:00:20Z</dcterms:modified>
  <cp:category/>
  <cp:contentStatus/>
</cp:coreProperties>
</file>